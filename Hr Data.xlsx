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webextensions/webextension1.xml" ContentType="application/vnd.ms-office.webextension+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63B91C7B-4A85-4BE1-87FC-5696077DE181}" xr6:coauthVersionLast="47" xr6:coauthVersionMax="47" xr10:uidLastSave="{00000000-0000-0000-0000-000000000000}"/>
  <bookViews>
    <workbookView xWindow="-108" yWindow="-108" windowWidth="23256" windowHeight="12456" activeTab="3" xr2:uid="{A470BC90-D872-4259-8CAF-61825336C35B}"/>
  </bookViews>
  <sheets>
    <sheet name="Documentation" sheetId="9" r:id="rId1"/>
    <sheet name="Pivots" sheetId="7" state="hidden" r:id="rId2"/>
    <sheet name="Data" sheetId="4" r:id="rId3"/>
    <sheet name="Dashboards" sheetId="6" r:id="rId4"/>
  </sheets>
  <definedNames>
    <definedName name="Slicer_City">#N/A</definedName>
    <definedName name="Slicer_Department">#N/A</definedName>
    <definedName name="Slicer_Gender">#N/A</definedName>
    <definedName name="Slicer_Remote_Offic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2" i="7"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2" i="4"/>
  <c r="C5" i="7"/>
  <c r="M9" i="7"/>
  <c r="E5" i="7"/>
  <c r="A5" i="7"/>
  <c r="I9" i="7"/>
</calcChain>
</file>

<file path=xl/sharedStrings.xml><?xml version="1.0" encoding="utf-8"?>
<sst xmlns="http://schemas.openxmlformats.org/spreadsheetml/2006/main" count="1054" uniqueCount="205">
  <si>
    <t>Gori</t>
  </si>
  <si>
    <t>Batumi</t>
  </si>
  <si>
    <t>Kutaisi</t>
  </si>
  <si>
    <t>Rustavi</t>
  </si>
  <si>
    <t>Telavi</t>
  </si>
  <si>
    <t>Zugdidi</t>
  </si>
  <si>
    <t>Tbilisi</t>
  </si>
  <si>
    <t>City</t>
  </si>
  <si>
    <t>Gender</t>
  </si>
  <si>
    <t>Row Labels</t>
  </si>
  <si>
    <t>Grand Total</t>
  </si>
  <si>
    <t>Female</t>
  </si>
  <si>
    <t>Male</t>
  </si>
  <si>
    <t>Employee ID</t>
  </si>
  <si>
    <t>Department</t>
  </si>
  <si>
    <t>Position</t>
  </si>
  <si>
    <t>Age</t>
  </si>
  <si>
    <t>Salary</t>
  </si>
  <si>
    <t>Hire Date</t>
  </si>
  <si>
    <t>Years at Company</t>
  </si>
  <si>
    <t>Education</t>
  </si>
  <si>
    <t>Performance Rating</t>
  </si>
  <si>
    <t>Overtime</t>
  </si>
  <si>
    <t>Remote/Office</t>
  </si>
  <si>
    <t>EMP0001</t>
  </si>
  <si>
    <t>Sales</t>
  </si>
  <si>
    <t>Account Manager</t>
  </si>
  <si>
    <t>Not Specified</t>
  </si>
  <si>
    <t>Bachelor's</t>
  </si>
  <si>
    <t>Good</t>
  </si>
  <si>
    <t>No</t>
  </si>
  <si>
    <t>Hybrid</t>
  </si>
  <si>
    <t>EMP0002</t>
  </si>
  <si>
    <t>Marketing</t>
  </si>
  <si>
    <t>Content Manager</t>
  </si>
  <si>
    <t>High School</t>
  </si>
  <si>
    <t>Office</t>
  </si>
  <si>
    <t>EMP0003</t>
  </si>
  <si>
    <t>Finance</t>
  </si>
  <si>
    <t>Finance Manager</t>
  </si>
  <si>
    <t>Needs Improvement</t>
  </si>
  <si>
    <t>Yes</t>
  </si>
  <si>
    <t>EMP0004</t>
  </si>
  <si>
    <t>HR</t>
  </si>
  <si>
    <t>HR Specialist</t>
  </si>
  <si>
    <t>Master's</t>
  </si>
  <si>
    <t>EMP0005</t>
  </si>
  <si>
    <t>EMP0006</t>
  </si>
  <si>
    <t>Operations</t>
  </si>
  <si>
    <t>Operations Coordinator</t>
  </si>
  <si>
    <t>Excellent</t>
  </si>
  <si>
    <t>EMP0007</t>
  </si>
  <si>
    <t>PhD</t>
  </si>
  <si>
    <t>Remote</t>
  </si>
  <si>
    <t>EMP0008</t>
  </si>
  <si>
    <t>Recruiter</t>
  </si>
  <si>
    <t>Average</t>
  </si>
  <si>
    <t>EMP0009</t>
  </si>
  <si>
    <t>Operations Manager</t>
  </si>
  <si>
    <t>EMP0010</t>
  </si>
  <si>
    <t>EMP0011</t>
  </si>
  <si>
    <t>EMP0012</t>
  </si>
  <si>
    <t>IT</t>
  </si>
  <si>
    <t>System Administrator</t>
  </si>
  <si>
    <t>EMP0013</t>
  </si>
  <si>
    <t>EMP0014</t>
  </si>
  <si>
    <t>EMP0015</t>
  </si>
  <si>
    <t>EMP0016</t>
  </si>
  <si>
    <t>Software Engineer</t>
  </si>
  <si>
    <t>EMP0017</t>
  </si>
  <si>
    <t>EMP0018</t>
  </si>
  <si>
    <t>HR Manager</t>
  </si>
  <si>
    <t>EMP0019</t>
  </si>
  <si>
    <t>Financial Analyst</t>
  </si>
  <si>
    <t>EMP0020</t>
  </si>
  <si>
    <t>EMP0021</t>
  </si>
  <si>
    <t>EMP0022</t>
  </si>
  <si>
    <t>EMP0023</t>
  </si>
  <si>
    <t>EMP0024</t>
  </si>
  <si>
    <t>EMP0025</t>
  </si>
  <si>
    <t>EMP0026</t>
  </si>
  <si>
    <t>EMP0027</t>
  </si>
  <si>
    <t>Sales Manager</t>
  </si>
  <si>
    <t>EMP0028</t>
  </si>
  <si>
    <t>EMP0029</t>
  </si>
  <si>
    <t>EMP0030</t>
  </si>
  <si>
    <t>EMP0031</t>
  </si>
  <si>
    <t>EMP0032</t>
  </si>
  <si>
    <t>EMP0033</t>
  </si>
  <si>
    <t>EMP0034</t>
  </si>
  <si>
    <t>EMP0035</t>
  </si>
  <si>
    <t>EMP0036</t>
  </si>
  <si>
    <t>Marketing Specialist</t>
  </si>
  <si>
    <t>EMP0037</t>
  </si>
  <si>
    <t>EMP0038</t>
  </si>
  <si>
    <t>EMP0039</t>
  </si>
  <si>
    <t>EMP0040</t>
  </si>
  <si>
    <t>Digital Marketing</t>
  </si>
  <si>
    <t>EMP0041</t>
  </si>
  <si>
    <t>EMP0042</t>
  </si>
  <si>
    <t>EMP0043</t>
  </si>
  <si>
    <t>EMP0044</t>
  </si>
  <si>
    <t>Sales Representative</t>
  </si>
  <si>
    <t>EMP0045</t>
  </si>
  <si>
    <t>EMP0046</t>
  </si>
  <si>
    <t>EMP0047</t>
  </si>
  <si>
    <t>EMP0048</t>
  </si>
  <si>
    <t>EMP0049</t>
  </si>
  <si>
    <t>EMP0050</t>
  </si>
  <si>
    <t>EMP0051</t>
  </si>
  <si>
    <t>Data Analyst</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</si>
  <si>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</si>
  <si>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</si>
  <si>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</si>
  <si>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</si>
  <si>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</si>
  <si>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</si>
  <si>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</si>
  <si>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</si>
  <si>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</si>
  <si>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</si>
  <si>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</si>
  <si>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</si>
  <si>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</si>
  <si>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</si>
  <si>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</si>
  <si>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</si>
  <si>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</si>
  <si>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</si>
  <si>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</si>
  <si>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</si>
  <si>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</si>
  <si>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</si>
  <si>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</si>
  <si>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</si>
  <si>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</si>
  <si>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</si>
  <si>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Accountant</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</si>
  <si>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</si>
  <si>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</si>
  <si>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</si>
  <si>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</si>
  <si>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</si>
  <si>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</si>
  <si>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</si>
  <si>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</si>
  <si>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</si>
  <si>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</si>
  <si>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</si>
  <si>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</si>
  <si>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</si>
  <si>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</si>
  <si>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</si>
  <si>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</si>
  <si>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</si>
  <si>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</si>
  <si>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</si>
  <si>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</si>
  <si>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</si>
  <si>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</si>
  <si>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</si>
  <si>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HR ANALYTICS DASHBOARD</t>
  </si>
  <si>
    <t>Count of Employee ID</t>
  </si>
  <si>
    <t>Average of Salary</t>
  </si>
  <si>
    <t>Performance Rating Num</t>
  </si>
  <si>
    <t>Average of Performance Rating Num</t>
  </si>
  <si>
    <t>Average of Years at Company</t>
  </si>
  <si>
    <t>KPI Cards</t>
  </si>
  <si>
    <t>Charts</t>
  </si>
  <si>
    <t>2021</t>
  </si>
  <si>
    <t>47-51</t>
  </si>
  <si>
    <t>Interactive Excel Dashboard</t>
  </si>
  <si>
    <t>Field</t>
  </si>
  <si>
    <t>Description</t>
  </si>
  <si>
    <t>Unique employee identifier</t>
  </si>
  <si>
    <t>Employee department</t>
  </si>
  <si>
    <t>Job title</t>
  </si>
  <si>
    <t>Employee gender</t>
  </si>
  <si>
    <t>Employee age</t>
  </si>
  <si>
    <t>Monthly salary (GEL)</t>
  </si>
  <si>
    <t>Employment start date</t>
  </si>
  <si>
    <t>Employee tenure</t>
  </si>
  <si>
    <t>Highest education level</t>
  </si>
  <si>
    <t>Employee performance level</t>
  </si>
  <si>
    <t>Works overtime (Yes/No)</t>
  </si>
  <si>
    <t>Work type</t>
  </si>
  <si>
    <t>Employee location</t>
  </si>
  <si>
    <t>2016</t>
  </si>
  <si>
    <t>2017</t>
  </si>
  <si>
    <t>2018</t>
  </si>
  <si>
    <t>2019</t>
  </si>
  <si>
    <t>2020</t>
  </si>
  <si>
    <t>2022</t>
  </si>
  <si>
    <t>2023</t>
  </si>
  <si>
    <t>2024</t>
  </si>
  <si>
    <t>2025</t>
  </si>
  <si>
    <t>2026</t>
  </si>
  <si>
    <t>22-26</t>
  </si>
  <si>
    <t>27-31</t>
  </si>
  <si>
    <t>32-36</t>
  </si>
  <si>
    <t>37-41</t>
  </si>
  <si>
    <t>42-46</t>
  </si>
  <si>
    <t>52-56</t>
  </si>
  <si>
    <t>57-61</t>
  </si>
  <si>
    <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</si>
</sst>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_([$GEL]\ * #,##0_);_([$GEL]\ * \(#,##0\);_([$GEL]\ * &quot;-&quot;??_);_(@_)"/>
  </numFmts>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b/>
      <sz val="22"/>
      <color theme="4" tint="0.59999389629810485"/>
      <name val="Aptos Narrow"/>
      <family val="2"/>
      <scheme val="minor"/>
    </font>
    <font>
      <b/>
      <sz val="26"/>
      <color rgb="FF92D050"/>
      <name val="Aptos Narrow"/>
      <family val="2"/>
      <scheme val="minor"/>
    </font>
    <font>
      <b/>
      <sz val="22"/>
      <color rgb="FF92D050"/>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9" tint="0.39997558519241921"/>
        <bgColor indexed="64"/>
      </patternFill>
    </fill>
  </fills>
  <borders count="8">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theme="4" tint="0.39997558519241921"/>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0" fontId="0" fillId="2" borderId="5" xfId="0" applyFill="1" applyBorder="1"/>
    <xf numFmtId="14" fontId="0" fillId="2" borderId="5" xfId="0" applyNumberFormat="1" applyFill="1" applyBorder="1"/>
    <xf numFmtId="0" fontId="0" fillId="0" borderId="5" xfId="0" applyBorder="1"/>
    <xf numFmtId="14" fontId="0" fillId="0" borderId="5" xfId="0" applyNumberFormat="1" applyBorder="1"/>
    <xf numFmtId="0" fontId="1" fillId="3" borderId="0" xfId="0" applyFont="1" applyFill="1"/>
    <xf numFmtId="0" fontId="3" fillId="0" borderId="0" xfId="0" applyFont="1" applyAlignment="1">
      <alignment horizontal="center" vertical="center"/>
    </xf>
    <xf numFmtId="164" fontId="0" fillId="0" borderId="0" xfId="0" applyNumberFormat="1"/>
    <xf numFmtId="1" fontId="0" fillId="0" borderId="0" xfId="0" applyNumberFormat="1"/>
    <xf numFmtId="165" fontId="0" fillId="0" borderId="0" xfId="0" applyNumberFormat="1"/>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2" fillId="0" borderId="0" xfId="0" applyFont="1" applyAlignment="1">
      <alignment horizontal="center"/>
    </xf>
    <xf numFmtId="0" fontId="0" fillId="0" borderId="0" xfId="0"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0" fontId="0" fillId="0" borderId="0" xfId="0" applyNumberFormat="1"/>
  </cellXfs>
  <cellStyles count="1">
    <cellStyle name="Normal" xfId="0" builtinId="0"/>
  </cellStyles>
  <dxfs count="26">
    <dxf>
      <numFmt numFmtId="1" formatCode="0"/>
    </dxf>
    <dxf>
      <numFmt numFmtId="1" formatCode="0"/>
    </dxf>
    <dxf>
      <numFmt numFmtId="164" formatCode="0.0000"/>
    </dxf>
    <dxf>
      <numFmt numFmtId="1" formatCode="0"/>
    </dxf>
    <dxf>
      <numFmt numFmtId="1" formatCode="0"/>
    </dxf>
    <dxf>
      <numFmt numFmtId="164" formatCode="0.0000"/>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1" formatCode="0"/>
    </dxf>
    <dxf>
      <numFmt numFmtId="1" formatCode="0"/>
    </dxf>
    <dxf>
      <numFmt numFmtId="164"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Data.xlsx]Pivots!PivotTable13</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Employees by Department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Pivots!$F$15</c:f>
              <c:strCache>
                <c:ptCount val="1"/>
                <c:pt idx="0">
                  <c:v>Total</c:v>
                </c:pt>
              </c:strCache>
            </c:strRef>
          </c:tx>
          <c:spPr>
            <a:solidFill>
              <a:srgbClr val="92D050"/>
            </a:solidFill>
            <a:ln>
              <a:solidFill>
                <a:srgbClr val="92D05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Pivots!$E$16:$E$22</c:f>
              <c:strCache>
                <c:ptCount val="6"/>
                <c:pt idx="0">
                  <c:v>Finance</c:v>
                </c:pt>
                <c:pt idx="1">
                  <c:v>HR</c:v>
                </c:pt>
                <c:pt idx="2">
                  <c:v>IT</c:v>
                </c:pt>
                <c:pt idx="3">
                  <c:v>Marketing</c:v>
                </c:pt>
                <c:pt idx="4">
                  <c:v>Operations</c:v>
                </c:pt>
                <c:pt idx="5">
                  <c:v>Sales</c:v>
                </c:pt>
              </c:strCache>
            </c:strRef>
          </c:cat>
          <c:val>
            <c:numRef>
              <c:f>Pivots!$F$16:$F$22</c:f>
              <c:numCache>
                <c:formatCode>General</c:formatCode>
                <c:ptCount val="6"/>
                <c:pt idx="0">
                  <c:v>12</c:v>
                </c:pt>
                <c:pt idx="1">
                  <c:v>22</c:v>
                </c:pt>
                <c:pt idx="2">
                  <c:v>14</c:v>
                </c:pt>
                <c:pt idx="3">
                  <c:v>18</c:v>
                </c:pt>
                <c:pt idx="4">
                  <c:v>17</c:v>
                </c:pt>
                <c:pt idx="5">
                  <c:v>17</c:v>
                </c:pt>
              </c:numCache>
            </c:numRef>
          </c:val>
          <c:extLst>
            <c:ext xmlns:c16="http://schemas.microsoft.com/office/drawing/2014/chart" uri="{C3380CC4-5D6E-409C-BE32-E72D297353CC}">
              <c16:uniqueId val="{00000002-32A1-4B9C-98A3-70D8BB7CBFAF}"/>
            </c:ext>
          </c:extLst>
        </c:ser>
        <c:dLbls>
          <c:showLegendKey val="0"/>
          <c:showVal val="0"/>
          <c:showCatName val="0"/>
          <c:showSerName val="0"/>
          <c:showPercent val="0"/>
          <c:showBubbleSize val="0"/>
        </c:dLbls>
        <c:gapWidth val="219"/>
        <c:overlap val="-27"/>
        <c:axId val="163516976"/>
        <c:axId val="2145870816"/>
      </c:barChart>
      <c:catAx>
        <c:axId val="16351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45870816"/>
        <c:crosses val="autoZero"/>
        <c:auto val="1"/>
        <c:lblAlgn val="ctr"/>
        <c:lblOffset val="100"/>
        <c:noMultiLvlLbl val="0"/>
      </c:catAx>
      <c:valAx>
        <c:axId val="21458708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351697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Data.xlsx]Pivots!PivotTable15</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Average Salary  By</a:t>
            </a:r>
            <a:r>
              <a:rPr lang="en-US" baseline="0"/>
              <a:t>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Pivots!$L$15</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Pivots!$K$16:$K$22</c:f>
              <c:strCache>
                <c:ptCount val="6"/>
                <c:pt idx="0">
                  <c:v>Finance</c:v>
                </c:pt>
                <c:pt idx="1">
                  <c:v>HR</c:v>
                </c:pt>
                <c:pt idx="2">
                  <c:v>IT</c:v>
                </c:pt>
                <c:pt idx="3">
                  <c:v>Marketing</c:v>
                </c:pt>
                <c:pt idx="4">
                  <c:v>Operations</c:v>
                </c:pt>
                <c:pt idx="5">
                  <c:v>Sales</c:v>
                </c:pt>
              </c:strCache>
            </c:strRef>
          </c:cat>
          <c:val>
            <c:numRef>
              <c:f>Pivots!$L$16:$L$22</c:f>
              <c:numCache>
                <c:formatCode>General</c:formatCode>
                <c:ptCount val="6"/>
                <c:pt idx="0">
                  <c:v>4678.583333333333</c:v>
                </c:pt>
                <c:pt idx="1">
                  <c:v>5414</c:v>
                </c:pt>
                <c:pt idx="2">
                  <c:v>5163.0714285714284</c:v>
                </c:pt>
                <c:pt idx="3">
                  <c:v>6674.4444444444443</c:v>
                </c:pt>
                <c:pt idx="4">
                  <c:v>5466.0588235294117</c:v>
                </c:pt>
                <c:pt idx="5">
                  <c:v>5080.2941176470586</c:v>
                </c:pt>
              </c:numCache>
            </c:numRef>
          </c:val>
          <c:extLst>
            <c:ext xmlns:c16="http://schemas.microsoft.com/office/drawing/2014/chart" uri="{C3380CC4-5D6E-409C-BE32-E72D297353CC}">
              <c16:uniqueId val="{00000000-8430-4B4F-A50E-74BF90921342}"/>
            </c:ext>
          </c:extLst>
        </c:ser>
        <c:dLbls>
          <c:showLegendKey val="0"/>
          <c:showVal val="0"/>
          <c:showCatName val="0"/>
          <c:showSerName val="0"/>
          <c:showPercent val="0"/>
          <c:showBubbleSize val="0"/>
        </c:dLbls>
        <c:gapWidth val="182"/>
        <c:axId val="1829749696"/>
        <c:axId val="212349088"/>
      </c:barChart>
      <c:catAx>
        <c:axId val="182974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2349088"/>
        <c:crosses val="autoZero"/>
        <c:auto val="1"/>
        <c:lblAlgn val="ctr"/>
        <c:lblOffset val="100"/>
        <c:noMultiLvlLbl val="0"/>
      </c:catAx>
      <c:valAx>
        <c:axId val="212349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974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Education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w="19050">
            <a:solidFill>
              <a:schemeClr val="lt1"/>
            </a:solidFill>
          </a:ln>
          <a:effectLst/>
        </c:spPr>
      </c:pivotFmt>
      <c:pivotFmt>
        <c:idx val="18"/>
        <c:spPr>
          <a:solidFill>
            <a:srgbClr val="FFFF00"/>
          </a:solidFill>
          <a:ln w="19050">
            <a:solidFill>
              <a:schemeClr val="lt1"/>
            </a:solidFill>
          </a:ln>
          <a:effectLst/>
        </c:spPr>
      </c:pivotFmt>
      <c:pivotFmt>
        <c:idx val="19"/>
        <c:spPr>
          <a:solidFill>
            <a:schemeClr val="accent3">
              <a:lumMod val="60000"/>
              <a:lumOff val="40000"/>
            </a:schemeClr>
          </a:solidFill>
          <a:ln w="19050">
            <a:solidFill>
              <a:schemeClr val="lt1"/>
            </a:solidFill>
          </a:ln>
          <a:effectLst/>
        </c:spPr>
      </c:pivotFmt>
      <c:pivotFmt>
        <c:idx val="20"/>
        <c:spPr>
          <a:solidFill>
            <a:schemeClr val="accent1">
              <a:lumMod val="60000"/>
              <a:lumOff val="40000"/>
            </a:schemeClr>
          </a:solidFill>
          <a:ln w="19050">
            <a:solidFill>
              <a:schemeClr val="lt1"/>
            </a:solidFill>
          </a:ln>
          <a:effectLst/>
        </c:spPr>
      </c:pivotFmt>
    </c:pivotFmts>
    <c:plotArea>
      <c:layout/>
      <c:doughnutChart>
        <c:varyColors val="1"/>
        <c:ser>
          <c:idx val="0"/>
          <c:order val="0"/>
          <c:tx>
            <c:strRef>
              <c:f>Pivots!$O$15</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0AE9-41CD-89EA-C6689E7A866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0AE9-41CD-89EA-C6689E7A8662}"/>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0AE9-41CD-89EA-C6689E7A8662}"/>
              </c:ext>
            </c:extLst>
          </c:dPt>
          <c:dPt>
            <c:idx val="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7-0AE9-41CD-89EA-C6689E7A8662}"/>
              </c:ext>
            </c:extLst>
          </c:dPt>
          <c:cat>
            <c:strRef>
              <c:f>Pivots!$N$16:$N$20</c:f>
              <c:strCache>
                <c:ptCount val="4"/>
                <c:pt idx="0">
                  <c:v>Bachelor's</c:v>
                </c:pt>
                <c:pt idx="1">
                  <c:v>High School</c:v>
                </c:pt>
                <c:pt idx="2">
                  <c:v>Master's</c:v>
                </c:pt>
                <c:pt idx="3">
                  <c:v>PhD</c:v>
                </c:pt>
              </c:strCache>
            </c:strRef>
          </c:cat>
          <c:val>
            <c:numRef>
              <c:f>Pivots!$O$16:$O$20</c:f>
              <c:numCache>
                <c:formatCode>General</c:formatCode>
                <c:ptCount val="4"/>
                <c:pt idx="0">
                  <c:v>23</c:v>
                </c:pt>
                <c:pt idx="1">
                  <c:v>25</c:v>
                </c:pt>
                <c:pt idx="2">
                  <c:v>20</c:v>
                </c:pt>
                <c:pt idx="3">
                  <c:v>32</c:v>
                </c:pt>
              </c:numCache>
            </c:numRef>
          </c:val>
          <c:extLst>
            <c:ext xmlns:c16="http://schemas.microsoft.com/office/drawing/2014/chart" uri="{C3380CC4-5D6E-409C-BE32-E72D297353CC}">
              <c16:uniqueId val="{00000008-0AE9-41CD-89EA-C6689E7A866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Data.xlsx]Pivots!PivotTable17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Performace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chemeClr val="tx2">
              <a:lumMod val="50000"/>
              <a:lumOff val="50000"/>
            </a:schemeClr>
          </a:solidFill>
          <a:ln>
            <a:noFill/>
          </a:ln>
          <a:effectLst/>
        </c:spPr>
      </c:pivotFmt>
      <c:pivotFmt>
        <c:idx val="5"/>
        <c:spPr>
          <a:solidFill>
            <a:schemeClr val="accent3">
              <a:lumMod val="60000"/>
              <a:lumOff val="40000"/>
            </a:schemeClr>
          </a:solidFill>
          <a:ln>
            <a:noFill/>
          </a:ln>
          <a:effectLst/>
        </c:spPr>
      </c:pivotFmt>
      <c:pivotFmt>
        <c:idx val="6"/>
        <c:spPr>
          <a:solidFill>
            <a:srgbClr val="FF0000"/>
          </a:solidFill>
          <a:ln>
            <a:noFill/>
          </a:ln>
          <a:effectLst/>
        </c:spPr>
      </c:pivotFmt>
    </c:pivotFmts>
    <c:plotArea>
      <c:layout/>
      <c:barChart>
        <c:barDir val="col"/>
        <c:grouping val="clustered"/>
        <c:varyColors val="0"/>
        <c:ser>
          <c:idx val="0"/>
          <c:order val="0"/>
          <c:tx>
            <c:strRef>
              <c:f>Pivots!$I$23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759F-4324-8BED-8CCC069F5C16}"/>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3-759F-4324-8BED-8CCC069F5C16}"/>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2-759F-4324-8BED-8CCC069F5C16}"/>
              </c:ext>
            </c:extLst>
          </c:dPt>
          <c:dPt>
            <c:idx val="3"/>
            <c:invertIfNegative val="0"/>
            <c:bubble3D val="0"/>
            <c:spPr>
              <a:solidFill>
                <a:srgbClr val="FF0000"/>
              </a:solidFill>
              <a:ln>
                <a:noFill/>
              </a:ln>
              <a:effectLst/>
            </c:spPr>
            <c:extLst>
              <c:ext xmlns:c16="http://schemas.microsoft.com/office/drawing/2014/chart" uri="{C3380CC4-5D6E-409C-BE32-E72D297353CC}">
                <c16:uniqueId val="{00000004-759F-4324-8BED-8CCC069F5C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Pivots!$H$24:$H$28</c:f>
              <c:strCache>
                <c:ptCount val="4"/>
                <c:pt idx="0">
                  <c:v>Average</c:v>
                </c:pt>
                <c:pt idx="1">
                  <c:v>Excellent</c:v>
                </c:pt>
                <c:pt idx="2">
                  <c:v>Good</c:v>
                </c:pt>
                <c:pt idx="3">
                  <c:v>Needs Improvement</c:v>
                </c:pt>
              </c:strCache>
            </c:strRef>
          </c:cat>
          <c:val>
            <c:numRef>
              <c:f>Pivots!$I$24:$I$28</c:f>
              <c:numCache>
                <c:formatCode>General</c:formatCode>
                <c:ptCount val="4"/>
                <c:pt idx="0">
                  <c:v>28</c:v>
                </c:pt>
                <c:pt idx="1">
                  <c:v>27</c:v>
                </c:pt>
                <c:pt idx="2">
                  <c:v>23</c:v>
                </c:pt>
                <c:pt idx="3">
                  <c:v>22</c:v>
                </c:pt>
              </c:numCache>
            </c:numRef>
          </c:val>
          <c:extLst>
            <c:ext xmlns:c16="http://schemas.microsoft.com/office/drawing/2014/chart" uri="{C3380CC4-5D6E-409C-BE32-E72D297353CC}">
              <c16:uniqueId val="{00000000-759F-4324-8BED-8CCC069F5C16}"/>
            </c:ext>
          </c:extLst>
        </c:ser>
        <c:dLbls>
          <c:showLegendKey val="0"/>
          <c:showVal val="0"/>
          <c:showCatName val="0"/>
          <c:showSerName val="0"/>
          <c:showPercent val="0"/>
          <c:showBubbleSize val="0"/>
        </c:dLbls>
        <c:gapWidth val="219"/>
        <c:overlap val="-27"/>
        <c:axId val="1099612800"/>
        <c:axId val="212385088"/>
      </c:barChart>
      <c:catAx>
        <c:axId val="10996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85088"/>
        <c:crosses val="autoZero"/>
        <c:auto val="1"/>
        <c:lblAlgn val="ctr"/>
        <c:lblOffset val="100"/>
        <c:noMultiLvlLbl val="0"/>
      </c:catAx>
      <c:valAx>
        <c:axId val="21238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6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Remote/Office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3">
              <a:lumMod val="60000"/>
              <a:lumOff val="40000"/>
            </a:schemeClr>
          </a:solidFill>
          <a:ln w="19050">
            <a:solidFill>
              <a:schemeClr val="lt1"/>
            </a:solidFill>
          </a:ln>
          <a:effectLst/>
        </c:spPr>
      </c:pivotFmt>
    </c:pivotFmts>
    <c:plotArea>
      <c:layout/>
      <c:pieChart>
        <c:varyColors val="1"/>
        <c:ser>
          <c:idx val="0"/>
          <c:order val="0"/>
          <c:tx>
            <c:strRef>
              <c:f>Pivots!$L$24</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ABBB-4A61-B5E3-641921C6CA5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ABBB-4A61-B5E3-641921C6CA53}"/>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ABBB-4A61-B5E3-641921C6CA53}"/>
              </c:ext>
            </c:extLst>
          </c:dPt>
          <c:cat>
            <c:strRef>
              <c:f>Pivots!$K$25:$K$28</c:f>
              <c:strCache>
                <c:ptCount val="3"/>
                <c:pt idx="0">
                  <c:v>Hybrid</c:v>
                </c:pt>
                <c:pt idx="1">
                  <c:v>Office</c:v>
                </c:pt>
                <c:pt idx="2">
                  <c:v>Remote</c:v>
                </c:pt>
              </c:strCache>
            </c:strRef>
          </c:cat>
          <c:val>
            <c:numRef>
              <c:f>Pivots!$L$25:$L$28</c:f>
              <c:numCache>
                <c:formatCode>General</c:formatCode>
                <c:ptCount val="3"/>
                <c:pt idx="0">
                  <c:v>38</c:v>
                </c:pt>
                <c:pt idx="1">
                  <c:v>30</c:v>
                </c:pt>
                <c:pt idx="2">
                  <c:v>32</c:v>
                </c:pt>
              </c:numCache>
            </c:numRef>
          </c:val>
          <c:extLst>
            <c:ext xmlns:c16="http://schemas.microsoft.com/office/drawing/2014/chart" uri="{C3380CC4-5D6E-409C-BE32-E72D297353CC}">
              <c16:uniqueId val="{00000006-ABBB-4A61-B5E3-641921C6CA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Data.xlsx]Pivots!PivotTable19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Pivots!$P$23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Pivots!$O$24:$O$31</c:f>
              <c:strCache>
                <c:ptCount val="7"/>
                <c:pt idx="0">
                  <c:v>Batumi</c:v>
                </c:pt>
                <c:pt idx="1">
                  <c:v>Gori</c:v>
                </c:pt>
                <c:pt idx="2">
                  <c:v>Kutaisi</c:v>
                </c:pt>
                <c:pt idx="3">
                  <c:v>Rustavi</c:v>
                </c:pt>
                <c:pt idx="4">
                  <c:v>Tbilisi</c:v>
                </c:pt>
                <c:pt idx="5">
                  <c:v>Telavi</c:v>
                </c:pt>
                <c:pt idx="6">
                  <c:v>Zugdidi</c:v>
                </c:pt>
              </c:strCache>
            </c:strRef>
          </c:cat>
          <c:val>
            <c:numRef>
              <c:f>Pivots!$P$24:$P$31</c:f>
              <c:numCache>
                <c:formatCode>General</c:formatCode>
                <c:ptCount val="7"/>
                <c:pt idx="0">
                  <c:v>18</c:v>
                </c:pt>
                <c:pt idx="1">
                  <c:v>13</c:v>
                </c:pt>
                <c:pt idx="2">
                  <c:v>15</c:v>
                </c:pt>
                <c:pt idx="3">
                  <c:v>12</c:v>
                </c:pt>
                <c:pt idx="4">
                  <c:v>9</c:v>
                </c:pt>
                <c:pt idx="5">
                  <c:v>16</c:v>
                </c:pt>
                <c:pt idx="6">
                  <c:v>17</c:v>
                </c:pt>
              </c:numCache>
            </c:numRef>
          </c:val>
          <c:extLst>
            <c:ext xmlns:c16="http://schemas.microsoft.com/office/drawing/2014/chart" uri="{C3380CC4-5D6E-409C-BE32-E72D297353CC}">
              <c16:uniqueId val="{00000000-415F-4364-A985-8D2962D44A3E}"/>
            </c:ext>
          </c:extLst>
        </c:ser>
        <c:dLbls>
          <c:showLegendKey val="0"/>
          <c:showVal val="0"/>
          <c:showCatName val="0"/>
          <c:showSerName val="0"/>
          <c:showPercent val="0"/>
          <c:showBubbleSize val="0"/>
        </c:dLbls>
        <c:gapWidth val="182"/>
        <c:axId val="1095391632"/>
        <c:axId val="2145871776"/>
      </c:barChart>
      <c:catAx>
        <c:axId val="109539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71776"/>
        <c:crosses val="autoZero"/>
        <c:auto val="1"/>
        <c:lblAlgn val="ctr"/>
        <c:lblOffset val="100"/>
        <c:noMultiLvlLbl val="0"/>
      </c:catAx>
      <c:valAx>
        <c:axId val="214587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39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Data.xlsx]Pivots!PivotTable20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 Trend (Employees Hired by</a:t>
            </a:r>
            <a:r>
              <a:rPr lang="en-US" baseline="0"/>
              <a: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Pivots!$H$33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Pivots!$G$34:$G$46</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Pivots!$H$34:$H$46</c:f>
              <c:numCache>
                <c:formatCode>General</c:formatCode>
                <c:ptCount val="12"/>
                <c:pt idx="0">
                  <c:v>9</c:v>
                </c:pt>
                <c:pt idx="1">
                  <c:v>14</c:v>
                </c:pt>
                <c:pt idx="2">
                  <c:v>6</c:v>
                </c:pt>
                <c:pt idx="3">
                  <c:v>7</c:v>
                </c:pt>
                <c:pt idx="4">
                  <c:v>7</c:v>
                </c:pt>
                <c:pt idx="5">
                  <c:v>7</c:v>
                </c:pt>
                <c:pt idx="6">
                  <c:v>14</c:v>
                </c:pt>
                <c:pt idx="7">
                  <c:v>9</c:v>
                </c:pt>
                <c:pt idx="8">
                  <c:v>7</c:v>
                </c:pt>
                <c:pt idx="9">
                  <c:v>8</c:v>
                </c:pt>
                <c:pt idx="10">
                  <c:v>10</c:v>
                </c:pt>
                <c:pt idx="11">
                  <c:v>2</c:v>
                </c:pt>
              </c:numCache>
            </c:numRef>
          </c:val>
          <c:smooth val="0"/>
          <c:extLst>
            <c:ext xmlns:c16="http://schemas.microsoft.com/office/drawing/2014/chart" uri="{C3380CC4-5D6E-409C-BE32-E72D297353CC}">
              <c16:uniqueId val="{00000000-6791-4FED-A511-ECAD2E676538}"/>
            </c:ext>
          </c:extLst>
        </c:ser>
        <c:dLbls>
          <c:showLegendKey val="0"/>
          <c:showVal val="0"/>
          <c:showCatName val="0"/>
          <c:showSerName val="0"/>
          <c:showPercent val="0"/>
          <c:showBubbleSize val="0"/>
        </c:dLbls>
        <c:smooth val="0"/>
        <c:axId val="1099620224"/>
        <c:axId val="212363968"/>
      </c:lineChart>
      <c:catAx>
        <c:axId val="109962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63968"/>
        <c:crosses val="autoZero"/>
        <c:auto val="1"/>
        <c:lblAlgn val="ctr"/>
        <c:lblOffset val="100"/>
        <c:noMultiLvlLbl val="0"/>
      </c:catAx>
      <c:valAx>
        <c:axId val="21236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62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Data.xlsx]Pivots!PivotTable21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Pivots!$K$33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Pivots!$J$34:$J$42</c:f>
              <c:strCache>
                <c:ptCount val="8"/>
                <c:pt idx="0">
                  <c:v>22-26</c:v>
                </c:pt>
                <c:pt idx="1">
                  <c:v>27-31</c:v>
                </c:pt>
                <c:pt idx="2">
                  <c:v>32-36</c:v>
                </c:pt>
                <c:pt idx="3">
                  <c:v>37-41</c:v>
                </c:pt>
                <c:pt idx="4">
                  <c:v>42-46</c:v>
                </c:pt>
                <c:pt idx="5">
                  <c:v>47-51</c:v>
                </c:pt>
                <c:pt idx="6">
                  <c:v>52-56</c:v>
                </c:pt>
                <c:pt idx="7">
                  <c:v>57-61</c:v>
                </c:pt>
              </c:strCache>
            </c:strRef>
          </c:cat>
          <c:val>
            <c:numRef>
              <c:f>Pivots!$K$34:$K$42</c:f>
              <c:numCache>
                <c:formatCode>General</c:formatCode>
                <c:ptCount val="8"/>
                <c:pt idx="0">
                  <c:v>11</c:v>
                </c:pt>
                <c:pt idx="1">
                  <c:v>13</c:v>
                </c:pt>
                <c:pt idx="2">
                  <c:v>12</c:v>
                </c:pt>
                <c:pt idx="3">
                  <c:v>11</c:v>
                </c:pt>
                <c:pt idx="4">
                  <c:v>12</c:v>
                </c:pt>
                <c:pt idx="5">
                  <c:v>13</c:v>
                </c:pt>
                <c:pt idx="6">
                  <c:v>19</c:v>
                </c:pt>
                <c:pt idx="7">
                  <c:v>9</c:v>
                </c:pt>
              </c:numCache>
            </c:numRef>
          </c:val>
          <c:extLst>
            <c:ext xmlns:c16="http://schemas.microsoft.com/office/drawing/2014/chart" uri="{C3380CC4-5D6E-409C-BE32-E72D297353CC}">
              <c16:uniqueId val="{00000000-2A80-47D2-83FC-9EA947B8E355}"/>
            </c:ext>
          </c:extLst>
        </c:ser>
        <c:dLbls>
          <c:showLegendKey val="0"/>
          <c:showVal val="0"/>
          <c:showCatName val="0"/>
          <c:showSerName val="0"/>
          <c:showPercent val="0"/>
          <c:showBubbleSize val="0"/>
        </c:dLbls>
        <c:gapWidth val="219"/>
        <c:overlap val="-27"/>
        <c:axId val="1829757120"/>
        <c:axId val="175227808"/>
      </c:barChart>
      <c:catAx>
        <c:axId val="182975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7808"/>
        <c:crosses val="autoZero"/>
        <c:auto val="1"/>
        <c:lblAlgn val="ctr"/>
        <c:lblOffset val="100"/>
        <c:noMultiLvlLbl val="0"/>
      </c:catAx>
      <c:valAx>
        <c:axId val="17522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75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Data.xlsx]Pivots!PivotTable22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rgbClr val="FF0000"/>
          </a:solidFill>
          <a:ln w="19050">
            <a:solidFill>
              <a:schemeClr val="lt1"/>
            </a:solidFill>
          </a:ln>
          <a:effectLst/>
        </c:spPr>
      </c:pivotFmt>
    </c:pivotFmts>
    <c:plotArea>
      <c:layout/>
      <c:doughnutChart>
        <c:varyColors val="1"/>
        <c:ser>
          <c:idx val="0"/>
          <c:order val="0"/>
          <c:tx>
            <c:strRef>
              <c:f>Pivots!$N$33</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4D70-451D-8FDE-4614E81B442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4D70-451D-8FDE-4614E81B442A}"/>
              </c:ext>
            </c:extLst>
          </c:dPt>
          <c:cat>
            <c:strRef>
              <c:f>Pivots!$M$34:$M$36</c:f>
              <c:strCache>
                <c:ptCount val="2"/>
                <c:pt idx="0">
                  <c:v>No</c:v>
                </c:pt>
                <c:pt idx="1">
                  <c:v>Yes</c:v>
                </c:pt>
              </c:strCache>
            </c:strRef>
          </c:cat>
          <c:val>
            <c:numRef>
              <c:f>Pivots!$N$34:$N$36</c:f>
              <c:numCache>
                <c:formatCode>General</c:formatCode>
                <c:ptCount val="2"/>
                <c:pt idx="0">
                  <c:v>59</c:v>
                </c:pt>
                <c:pt idx="1">
                  <c:v>41</c:v>
                </c:pt>
              </c:numCache>
            </c:numRef>
          </c:val>
          <c:extLst>
            <c:ext xmlns:c16="http://schemas.microsoft.com/office/drawing/2014/chart" uri="{C3380CC4-5D6E-409C-BE32-E72D297353CC}">
              <c16:uniqueId val="{00000004-4D70-451D-8FDE-4614E81B44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chart" Target="../charts/chart7.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3.png"/><Relationship Id="rId23" Type="http://schemas.openxmlformats.org/officeDocument/2006/relationships/chart" Target="../charts/chart9.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microsoft.com/office/2011/relationships/webextension" Target="../webextensions/webextension1.xml"/><Relationship Id="rId22"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353895</xdr:colOff>
      <xdr:row>7</xdr:row>
      <xdr:rowOff>109926</xdr:rowOff>
    </xdr:from>
    <xdr:to>
      <xdr:col>3</xdr:col>
      <xdr:colOff>411537</xdr:colOff>
      <xdr:row>13</xdr:row>
      <xdr:rowOff>137804</xdr:rowOff>
    </xdr:to>
    <xdr:sp macro="" textlink="">
      <xdr:nvSpPr>
        <xdr:cNvPr id="2" name="Rectangle 1">
          <a:extLst>
            <a:ext uri="{FF2B5EF4-FFF2-40B4-BE49-F238E27FC236}">
              <a16:creationId xmlns:a16="http://schemas.microsoft.com/office/drawing/2014/main" id="{2B8AE4BF-D53C-85C6-8362-448C09E6CBF6}"/>
            </a:ext>
          </a:extLst>
        </xdr:cNvPr>
        <xdr:cNvSpPr/>
      </xdr:nvSpPr>
      <xdr:spPr>
        <a:xfrm>
          <a:off x="353895" y="1837126"/>
          <a:ext cx="1886442" cy="1145478"/>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409792</xdr:colOff>
      <xdr:row>8</xdr:row>
      <xdr:rowOff>106294</xdr:rowOff>
    </xdr:from>
    <xdr:to>
      <xdr:col>3</xdr:col>
      <xdr:colOff>260355</xdr:colOff>
      <xdr:row>13</xdr:row>
      <xdr:rowOff>11982</xdr:rowOff>
    </xdr:to>
    <xdr:sp macro="" textlink="Pivots!A5">
      <xdr:nvSpPr>
        <xdr:cNvPr id="3" name="TextBox 2">
          <a:extLst>
            <a:ext uri="{FF2B5EF4-FFF2-40B4-BE49-F238E27FC236}">
              <a16:creationId xmlns:a16="http://schemas.microsoft.com/office/drawing/2014/main" id="{6BB74FAA-92AF-6CFF-967A-DAF74E55A1BA}"/>
            </a:ext>
          </a:extLst>
        </xdr:cNvPr>
        <xdr:cNvSpPr txBox="1"/>
      </xdr:nvSpPr>
      <xdr:spPr>
        <a:xfrm>
          <a:off x="409792" y="2019761"/>
          <a:ext cx="1679363" cy="8370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0" i="0" baseline="0">
              <a:solidFill>
                <a:schemeClr val="dk1"/>
              </a:solidFill>
              <a:effectLst/>
              <a:latin typeface="+mn-lt"/>
              <a:ea typeface="+mn-ea"/>
              <a:cs typeface="+mn-cs"/>
            </a:rPr>
            <a:t>     </a:t>
          </a:r>
          <a:r>
            <a:rPr lang="en-US" sz="1500" b="1" i="0">
              <a:solidFill>
                <a:schemeClr val="dk1"/>
              </a:solidFill>
              <a:effectLst/>
              <a:latin typeface="+mn-lt"/>
              <a:ea typeface="+mn-ea"/>
              <a:cs typeface="+mn-cs"/>
            </a:rPr>
            <a:t>Total</a:t>
          </a:r>
          <a:r>
            <a:rPr lang="en-US" sz="1500" b="1" i="0" baseline="0">
              <a:solidFill>
                <a:schemeClr val="dk1"/>
              </a:solidFill>
              <a:effectLst/>
              <a:latin typeface="+mn-lt"/>
              <a:ea typeface="+mn-ea"/>
              <a:cs typeface="+mn-cs"/>
            </a:rPr>
            <a:t> Employees  </a:t>
          </a:r>
          <a:endParaRPr lang="en-US" sz="1500" b="1" i="0" u="none" strike="noStrike" baseline="0">
            <a:solidFill>
              <a:srgbClr val="000000"/>
            </a:solidFill>
            <a:latin typeface="Aptos Narrow"/>
          </a:endParaRPr>
        </a:p>
        <a:p>
          <a:pPr algn="r"/>
          <a:fld id="{228294D2-01B8-4462-B5A3-2F647088C2F1}" type="TxLink">
            <a:rPr lang="en-US" sz="2000" b="0" i="0" u="none" strike="noStrike" baseline="0">
              <a:solidFill>
                <a:srgbClr val="000000"/>
              </a:solidFill>
              <a:latin typeface="Aptos Narrow"/>
            </a:rPr>
            <a:pPr algn="r"/>
            <a:t>100</a:t>
          </a:fld>
          <a:endParaRPr lang="en-US" sz="2000"/>
        </a:p>
      </xdr:txBody>
    </xdr:sp>
    <xdr:clientData/>
  </xdr:twoCellAnchor>
  <xdr:twoCellAnchor>
    <xdr:from>
      <xdr:col>0</xdr:col>
      <xdr:colOff>397978</xdr:colOff>
      <xdr:row>9</xdr:row>
      <xdr:rowOff>152477</xdr:rowOff>
    </xdr:from>
    <xdr:to>
      <xdr:col>1</xdr:col>
      <xdr:colOff>246850</xdr:colOff>
      <xdr:row>12</xdr:row>
      <xdr:rowOff>63783</xdr:rowOff>
    </xdr:to>
    <xdr:pic>
      <xdr:nvPicPr>
        <xdr:cNvPr id="5" name="Graphic 4" descr="Employee badge outline">
          <a:extLst>
            <a:ext uri="{FF2B5EF4-FFF2-40B4-BE49-F238E27FC236}">
              <a16:creationId xmlns:a16="http://schemas.microsoft.com/office/drawing/2014/main" id="{BC08A4C2-F8D3-1EDB-C741-5B19E1E54F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7978" y="2252210"/>
          <a:ext cx="458472" cy="470106"/>
        </a:xfrm>
        <a:prstGeom prst="rect">
          <a:avLst/>
        </a:prstGeom>
      </xdr:spPr>
    </xdr:pic>
    <xdr:clientData/>
  </xdr:twoCellAnchor>
  <xdr:twoCellAnchor>
    <xdr:from>
      <xdr:col>4</xdr:col>
      <xdr:colOff>76980</xdr:colOff>
      <xdr:row>7</xdr:row>
      <xdr:rowOff>109926</xdr:rowOff>
    </xdr:from>
    <xdr:to>
      <xdr:col>7</xdr:col>
      <xdr:colOff>285750</xdr:colOff>
      <xdr:row>13</xdr:row>
      <xdr:rowOff>131092</xdr:rowOff>
    </xdr:to>
    <xdr:sp macro="" textlink="">
      <xdr:nvSpPr>
        <xdr:cNvPr id="6" name="Rectangle 5">
          <a:extLst>
            <a:ext uri="{FF2B5EF4-FFF2-40B4-BE49-F238E27FC236}">
              <a16:creationId xmlns:a16="http://schemas.microsoft.com/office/drawing/2014/main" id="{74B2F24C-7A2D-4BAA-9F0F-A15C129D942E}"/>
            </a:ext>
          </a:extLst>
        </xdr:cNvPr>
        <xdr:cNvSpPr/>
      </xdr:nvSpPr>
      <xdr:spPr>
        <a:xfrm>
          <a:off x="2515380" y="1837126"/>
          <a:ext cx="2037570" cy="1138766"/>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103605</xdr:colOff>
      <xdr:row>8</xdr:row>
      <xdr:rowOff>68578</xdr:rowOff>
    </xdr:from>
    <xdr:to>
      <xdr:col>7</xdr:col>
      <xdr:colOff>211840</xdr:colOff>
      <xdr:row>13</xdr:row>
      <xdr:rowOff>5516</xdr:rowOff>
    </xdr:to>
    <xdr:sp macro="" textlink="Pivots!C5">
      <xdr:nvSpPr>
        <xdr:cNvPr id="8" name="TextBox 7">
          <a:extLst>
            <a:ext uri="{FF2B5EF4-FFF2-40B4-BE49-F238E27FC236}">
              <a16:creationId xmlns:a16="http://schemas.microsoft.com/office/drawing/2014/main" id="{AFC0D129-0BA5-460F-A439-C55EEEF4029A}"/>
            </a:ext>
          </a:extLst>
        </xdr:cNvPr>
        <xdr:cNvSpPr txBox="1"/>
      </xdr:nvSpPr>
      <xdr:spPr>
        <a:xfrm>
          <a:off x="2542005" y="1982045"/>
          <a:ext cx="1937035" cy="868271"/>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500" b="1">
              <a:solidFill>
                <a:schemeClr val="dk1"/>
              </a:solidFill>
              <a:effectLst/>
              <a:latin typeface="+mn-lt"/>
              <a:ea typeface="+mn-ea"/>
              <a:cs typeface="+mn-cs"/>
            </a:rPr>
            <a:t>Aerage</a:t>
          </a:r>
          <a:r>
            <a:rPr lang="en-US" sz="1500" b="1" baseline="0">
              <a:solidFill>
                <a:schemeClr val="dk1"/>
              </a:solidFill>
              <a:effectLst/>
              <a:latin typeface="+mn-lt"/>
              <a:ea typeface="+mn-ea"/>
              <a:cs typeface="+mn-cs"/>
            </a:rPr>
            <a:t> salary</a:t>
          </a:r>
          <a:br>
            <a:rPr lang="en-US" sz="1500" b="0" baseline="0">
              <a:solidFill>
                <a:schemeClr val="dk1"/>
              </a:solidFill>
              <a:effectLst/>
              <a:latin typeface="+mn-lt"/>
              <a:ea typeface="+mn-ea"/>
              <a:cs typeface="+mn-cs"/>
            </a:rPr>
          </a:br>
          <a:fld id="{D0163D94-D56A-4F3F-AC11-7100384FDFEF}" type="TxLink">
            <a:rPr lang="en-US" sz="2000" b="0" i="0" u="none" strike="noStrike">
              <a:solidFill>
                <a:srgbClr val="000000"/>
              </a:solidFill>
              <a:latin typeface="Aptos Narrow"/>
            </a:rPr>
            <a:pPr marL="0" marR="0" lvl="0" indent="0" algn="r" defTabSz="914400" eaLnBrk="1" fontAlgn="auto" latinLnBrk="0" hangingPunct="1">
              <a:lnSpc>
                <a:spcPct val="100000"/>
              </a:lnSpc>
              <a:spcBef>
                <a:spcPts val="0"/>
              </a:spcBef>
              <a:spcAft>
                <a:spcPts val="0"/>
              </a:spcAft>
              <a:buClrTx/>
              <a:buSzTx/>
              <a:buFontTx/>
              <a:buNone/>
              <a:tabLst/>
              <a:defRPr/>
            </a:pPr>
            <a:t> GEL 5,470 </a:t>
          </a:fld>
          <a:endParaRPr lang="en-US" sz="2000" b="1">
            <a:solidFill>
              <a:sysClr val="windowText" lastClr="000000"/>
            </a:solidFill>
          </a:endParaRPr>
        </a:p>
      </xdr:txBody>
    </xdr:sp>
    <xdr:clientData/>
  </xdr:twoCellAnchor>
  <xdr:twoCellAnchor>
    <xdr:from>
      <xdr:col>4</xdr:col>
      <xdr:colOff>137330</xdr:colOff>
      <xdr:row>9</xdr:row>
      <xdr:rowOff>167987</xdr:rowOff>
    </xdr:from>
    <xdr:to>
      <xdr:col>5</xdr:col>
      <xdr:colOff>38977</xdr:colOff>
      <xdr:row>12</xdr:row>
      <xdr:rowOff>92197</xdr:rowOff>
    </xdr:to>
    <xdr:pic>
      <xdr:nvPicPr>
        <xdr:cNvPr id="21" name="Graphic 20" descr="Flying Money with solid fill">
          <a:extLst>
            <a:ext uri="{FF2B5EF4-FFF2-40B4-BE49-F238E27FC236}">
              <a16:creationId xmlns:a16="http://schemas.microsoft.com/office/drawing/2014/main" id="{C4EE67D2-FE95-0CC8-D56E-3CB8E5DCD4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75730" y="2267720"/>
          <a:ext cx="511247" cy="483010"/>
        </a:xfrm>
        <a:prstGeom prst="rect">
          <a:avLst/>
        </a:prstGeom>
      </xdr:spPr>
    </xdr:pic>
    <xdr:clientData/>
  </xdr:twoCellAnchor>
  <xdr:twoCellAnchor>
    <xdr:from>
      <xdr:col>8</xdr:col>
      <xdr:colOff>31750</xdr:colOff>
      <xdr:row>7</xdr:row>
      <xdr:rowOff>109926</xdr:rowOff>
    </xdr:from>
    <xdr:to>
      <xdr:col>12</xdr:col>
      <xdr:colOff>31750</xdr:colOff>
      <xdr:row>14</xdr:row>
      <xdr:rowOff>4092</xdr:rowOff>
    </xdr:to>
    <xdr:sp macro="" textlink="">
      <xdr:nvSpPr>
        <xdr:cNvPr id="9" name="Rectangle 8">
          <a:extLst>
            <a:ext uri="{FF2B5EF4-FFF2-40B4-BE49-F238E27FC236}">
              <a16:creationId xmlns:a16="http://schemas.microsoft.com/office/drawing/2014/main" id="{F5651D51-0433-40B9-AF2C-A81C0D3FB91A}"/>
            </a:ext>
          </a:extLst>
        </xdr:cNvPr>
        <xdr:cNvSpPr/>
      </xdr:nvSpPr>
      <xdr:spPr>
        <a:xfrm>
          <a:off x="4908550" y="1837126"/>
          <a:ext cx="2438400" cy="119803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147364</xdr:colOff>
      <xdr:row>8</xdr:row>
      <xdr:rowOff>77535</xdr:rowOff>
    </xdr:from>
    <xdr:to>
      <xdr:col>11</xdr:col>
      <xdr:colOff>504716</xdr:colOff>
      <xdr:row>13</xdr:row>
      <xdr:rowOff>80448</xdr:rowOff>
    </xdr:to>
    <xdr:sp macro="" textlink="Pivots!E5">
      <xdr:nvSpPr>
        <xdr:cNvPr id="10" name="TextBox 9">
          <a:extLst>
            <a:ext uri="{FF2B5EF4-FFF2-40B4-BE49-F238E27FC236}">
              <a16:creationId xmlns:a16="http://schemas.microsoft.com/office/drawing/2014/main" id="{2BE32041-367B-474B-A289-17924C451B85}"/>
            </a:ext>
          </a:extLst>
        </xdr:cNvPr>
        <xdr:cNvSpPr txBox="1"/>
      </xdr:nvSpPr>
      <xdr:spPr>
        <a:xfrm>
          <a:off x="5024164" y="1991002"/>
          <a:ext cx="2186152" cy="934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500" b="1" i="0">
              <a:solidFill>
                <a:schemeClr val="accent1">
                  <a:lumMod val="75000"/>
                </a:schemeClr>
              </a:solidFill>
              <a:effectLst/>
              <a:latin typeface="+mn-lt"/>
              <a:ea typeface="+mn-ea"/>
              <a:cs typeface="+mn-cs"/>
            </a:rPr>
            <a:t>AVG Performance</a:t>
          </a:r>
          <a:r>
            <a:rPr lang="en-US" sz="1500" b="1" i="0" baseline="0">
              <a:solidFill>
                <a:schemeClr val="accent1">
                  <a:lumMod val="75000"/>
                </a:schemeClr>
              </a:solidFill>
              <a:effectLst/>
              <a:latin typeface="+mn-lt"/>
              <a:ea typeface="+mn-ea"/>
              <a:cs typeface="+mn-cs"/>
            </a:rPr>
            <a:t> Rating</a:t>
          </a:r>
          <a:endParaRPr lang="en-US" sz="1500" b="0" i="0" u="none" strike="noStrike">
            <a:solidFill>
              <a:srgbClr val="000000"/>
            </a:solidFill>
            <a:latin typeface="Aptos Narrow"/>
          </a:endParaRPr>
        </a:p>
        <a:p>
          <a:pPr marL="0" marR="0" lvl="0" indent="0" algn="r" defTabSz="914400" eaLnBrk="1" fontAlgn="auto" latinLnBrk="0" hangingPunct="1">
            <a:lnSpc>
              <a:spcPct val="100000"/>
            </a:lnSpc>
            <a:spcBef>
              <a:spcPts val="0"/>
            </a:spcBef>
            <a:spcAft>
              <a:spcPts val="0"/>
            </a:spcAft>
            <a:buClrTx/>
            <a:buSzTx/>
            <a:buFontTx/>
            <a:buNone/>
            <a:tabLst/>
            <a:defRPr/>
          </a:pPr>
          <a:fld id="{25C7688E-C835-446C-BB57-D3765ABD858B}" type="TxLink">
            <a:rPr lang="en-US" sz="2000" b="1" i="0" u="none" strike="noStrike">
              <a:solidFill>
                <a:srgbClr val="000000"/>
              </a:solidFill>
              <a:latin typeface="Aptos Narrow"/>
            </a:rPr>
            <a:pPr marL="0" marR="0" lvl="0" indent="0" algn="r" defTabSz="914400" eaLnBrk="1" fontAlgn="auto" latinLnBrk="0" hangingPunct="1">
              <a:lnSpc>
                <a:spcPct val="100000"/>
              </a:lnSpc>
              <a:spcBef>
                <a:spcPts val="0"/>
              </a:spcBef>
              <a:spcAft>
                <a:spcPts val="0"/>
              </a:spcAft>
              <a:buClrTx/>
              <a:buSzTx/>
              <a:buFontTx/>
              <a:buNone/>
              <a:tabLst/>
              <a:defRPr/>
            </a:pPr>
            <a:t>3</a:t>
          </a:fld>
          <a:r>
            <a:rPr lang="ka-GE" sz="2000" b="1" i="0" u="none" strike="noStrike">
              <a:solidFill>
                <a:srgbClr val="000000"/>
              </a:solidFill>
              <a:latin typeface="Aptos Narrow"/>
            </a:rPr>
            <a:t> /</a:t>
          </a:r>
          <a:r>
            <a:rPr lang="en-US" sz="2000" b="1" i="0" u="none" strike="noStrike">
              <a:solidFill>
                <a:srgbClr val="000000"/>
              </a:solidFill>
              <a:latin typeface="Aptos Narrow"/>
            </a:rPr>
            <a:t>4</a:t>
          </a:r>
          <a:endParaRPr lang="en-US" sz="2000" b="1">
            <a:solidFill>
              <a:sysClr val="windowText" lastClr="000000"/>
            </a:solidFill>
          </a:endParaRPr>
        </a:p>
      </xdr:txBody>
    </xdr:sp>
    <xdr:clientData/>
  </xdr:twoCellAnchor>
  <xdr:twoCellAnchor>
    <xdr:from>
      <xdr:col>8</xdr:col>
      <xdr:colOff>204230</xdr:colOff>
      <xdr:row>10</xdr:row>
      <xdr:rowOff>50031</xdr:rowOff>
    </xdr:from>
    <xdr:to>
      <xdr:col>9</xdr:col>
      <xdr:colOff>58270</xdr:colOff>
      <xdr:row>12</xdr:row>
      <xdr:rowOff>152624</xdr:rowOff>
    </xdr:to>
    <xdr:pic>
      <xdr:nvPicPr>
        <xdr:cNvPr id="23" name="Graphic 22" descr="Star outline">
          <a:extLst>
            <a:ext uri="{FF2B5EF4-FFF2-40B4-BE49-F238E27FC236}">
              <a16:creationId xmlns:a16="http://schemas.microsoft.com/office/drawing/2014/main" id="{96D938CE-B161-9BBF-47C1-B87A4FBEAE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81030" y="2336031"/>
          <a:ext cx="463640" cy="475126"/>
        </a:xfrm>
        <a:prstGeom prst="rect">
          <a:avLst/>
        </a:prstGeom>
      </xdr:spPr>
    </xdr:pic>
    <xdr:clientData/>
  </xdr:twoCellAnchor>
  <xdr:twoCellAnchor>
    <xdr:from>
      <xdr:col>12</xdr:col>
      <xdr:colOff>317502</xdr:colOff>
      <xdr:row>7</xdr:row>
      <xdr:rowOff>109926</xdr:rowOff>
    </xdr:from>
    <xdr:to>
      <xdr:col>16</xdr:col>
      <xdr:colOff>169334</xdr:colOff>
      <xdr:row>13</xdr:row>
      <xdr:rowOff>152259</xdr:rowOff>
    </xdr:to>
    <xdr:sp macro="" textlink="">
      <xdr:nvSpPr>
        <xdr:cNvPr id="14" name="Rectangle 13">
          <a:extLst>
            <a:ext uri="{FF2B5EF4-FFF2-40B4-BE49-F238E27FC236}">
              <a16:creationId xmlns:a16="http://schemas.microsoft.com/office/drawing/2014/main" id="{56B9ECC5-5C2B-471C-B181-C99F12E0A6A1}"/>
            </a:ext>
          </a:extLst>
        </xdr:cNvPr>
        <xdr:cNvSpPr/>
      </xdr:nvSpPr>
      <xdr:spPr>
        <a:xfrm>
          <a:off x="7632702" y="1837126"/>
          <a:ext cx="2290232" cy="115993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380536</xdr:colOff>
      <xdr:row>7</xdr:row>
      <xdr:rowOff>162338</xdr:rowOff>
    </xdr:from>
    <xdr:to>
      <xdr:col>16</xdr:col>
      <xdr:colOff>43266</xdr:colOff>
      <xdr:row>13</xdr:row>
      <xdr:rowOff>42832</xdr:rowOff>
    </xdr:to>
    <xdr:sp macro="" textlink="Pivots!G12">
      <xdr:nvSpPr>
        <xdr:cNvPr id="15" name="TextBox 14">
          <a:extLst>
            <a:ext uri="{FF2B5EF4-FFF2-40B4-BE49-F238E27FC236}">
              <a16:creationId xmlns:a16="http://schemas.microsoft.com/office/drawing/2014/main" id="{1DC77EE2-8653-4375-95D3-13CF33189236}"/>
            </a:ext>
          </a:extLst>
        </xdr:cNvPr>
        <xdr:cNvSpPr txBox="1"/>
      </xdr:nvSpPr>
      <xdr:spPr>
        <a:xfrm>
          <a:off x="7695736" y="1889538"/>
          <a:ext cx="2101130" cy="998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i="0">
              <a:solidFill>
                <a:schemeClr val="accent1">
                  <a:lumMod val="75000"/>
                </a:schemeClr>
              </a:solidFill>
              <a:effectLst/>
              <a:latin typeface="+mn-lt"/>
              <a:ea typeface="+mn-ea"/>
              <a:cs typeface="+mn-cs"/>
            </a:rPr>
            <a:t>Total</a:t>
          </a:r>
          <a:r>
            <a:rPr lang="en-US" sz="1500" b="1" i="0" baseline="0">
              <a:solidFill>
                <a:schemeClr val="accent1">
                  <a:lumMod val="75000"/>
                </a:schemeClr>
              </a:solidFill>
              <a:effectLst/>
              <a:latin typeface="+mn-lt"/>
              <a:ea typeface="+mn-ea"/>
              <a:cs typeface="+mn-cs"/>
            </a:rPr>
            <a:t> Departments</a:t>
          </a:r>
          <a:endParaRPr lang="en-US" sz="1500" b="0" i="0" u="none" strike="noStrike" baseline="0">
            <a:solidFill>
              <a:schemeClr val="accent1">
                <a:lumMod val="75000"/>
              </a:schemeClr>
            </a:solidFill>
            <a:latin typeface="Aptos Narrow"/>
          </a:endParaRPr>
        </a:p>
        <a:p>
          <a:pPr algn="r"/>
          <a:r>
            <a:rPr lang="en-US" sz="2600" b="0" i="0" u="none" strike="noStrike" baseline="0">
              <a:solidFill>
                <a:srgbClr val="000000"/>
              </a:solidFill>
              <a:latin typeface="Aptos Narrow"/>
            </a:rPr>
            <a:t>	</a:t>
          </a:r>
          <a:fld id="{D1181793-62F0-43CF-9B0F-09386E9641D9}" type="TxLink">
            <a:rPr lang="en-US" sz="2000" b="1" i="0" u="none" strike="noStrike" baseline="0">
              <a:solidFill>
                <a:srgbClr val="000000"/>
              </a:solidFill>
              <a:latin typeface="Aptos Narrow"/>
            </a:rPr>
            <a:pPr algn="r"/>
            <a:t>6</a:t>
          </a:fld>
          <a:endParaRPr lang="en-US" sz="2000" b="1">
            <a:solidFill>
              <a:schemeClr val="accent1">
                <a:lumMod val="75000"/>
              </a:schemeClr>
            </a:solidFill>
          </a:endParaRPr>
        </a:p>
      </xdr:txBody>
    </xdr:sp>
    <xdr:clientData/>
  </xdr:twoCellAnchor>
  <xdr:twoCellAnchor>
    <xdr:from>
      <xdr:col>12</xdr:col>
      <xdr:colOff>419173</xdr:colOff>
      <xdr:row>9</xdr:row>
      <xdr:rowOff>183951</xdr:rowOff>
    </xdr:from>
    <xdr:to>
      <xdr:col>13</xdr:col>
      <xdr:colOff>272494</xdr:colOff>
      <xdr:row>12</xdr:row>
      <xdr:rowOff>98020</xdr:rowOff>
    </xdr:to>
    <xdr:pic>
      <xdr:nvPicPr>
        <xdr:cNvPr id="25" name="Graphic 24" descr="Briefcase with solid fill">
          <a:extLst>
            <a:ext uri="{FF2B5EF4-FFF2-40B4-BE49-F238E27FC236}">
              <a16:creationId xmlns:a16="http://schemas.microsoft.com/office/drawing/2014/main" id="{EA6B3AAE-6F10-7B60-8D02-7B25AD4E4A2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34373" y="2283684"/>
          <a:ext cx="462921" cy="472869"/>
        </a:xfrm>
        <a:prstGeom prst="rect">
          <a:avLst/>
        </a:prstGeom>
      </xdr:spPr>
    </xdr:pic>
    <xdr:clientData/>
  </xdr:twoCellAnchor>
  <xdr:twoCellAnchor>
    <xdr:from>
      <xdr:col>16</xdr:col>
      <xdr:colOff>444504</xdr:colOff>
      <xdr:row>7</xdr:row>
      <xdr:rowOff>109926</xdr:rowOff>
    </xdr:from>
    <xdr:to>
      <xdr:col>20</xdr:col>
      <xdr:colOff>137587</xdr:colOff>
      <xdr:row>14</xdr:row>
      <xdr:rowOff>25259</xdr:rowOff>
    </xdr:to>
    <xdr:sp macro="" textlink="">
      <xdr:nvSpPr>
        <xdr:cNvPr id="16" name="Rectangle 15">
          <a:extLst>
            <a:ext uri="{FF2B5EF4-FFF2-40B4-BE49-F238E27FC236}">
              <a16:creationId xmlns:a16="http://schemas.microsoft.com/office/drawing/2014/main" id="{91DB086C-DAC9-4E51-A699-042DC4C76A08}"/>
            </a:ext>
          </a:extLst>
        </xdr:cNvPr>
        <xdr:cNvSpPr/>
      </xdr:nvSpPr>
      <xdr:spPr>
        <a:xfrm>
          <a:off x="10198104" y="1837126"/>
          <a:ext cx="2131483" cy="121920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539999</xdr:colOff>
      <xdr:row>7</xdr:row>
      <xdr:rowOff>182186</xdr:rowOff>
    </xdr:from>
    <xdr:to>
      <xdr:col>20</xdr:col>
      <xdr:colOff>43086</xdr:colOff>
      <xdr:row>13</xdr:row>
      <xdr:rowOff>79718</xdr:rowOff>
    </xdr:to>
    <xdr:sp macro="" textlink="Pivots!I9">
      <xdr:nvSpPr>
        <xdr:cNvPr id="18" name="TextBox 17">
          <a:extLst>
            <a:ext uri="{FF2B5EF4-FFF2-40B4-BE49-F238E27FC236}">
              <a16:creationId xmlns:a16="http://schemas.microsoft.com/office/drawing/2014/main" id="{F868BF86-6FFD-44F4-A245-DF10F3DF94C7}"/>
            </a:ext>
          </a:extLst>
        </xdr:cNvPr>
        <xdr:cNvSpPr txBox="1"/>
      </xdr:nvSpPr>
      <xdr:spPr>
        <a:xfrm>
          <a:off x="10293599" y="1909386"/>
          <a:ext cx="1941487" cy="10151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i="0">
              <a:solidFill>
                <a:schemeClr val="accent1">
                  <a:lumMod val="75000"/>
                </a:schemeClr>
              </a:solidFill>
              <a:effectLst/>
              <a:latin typeface="+mn-lt"/>
              <a:ea typeface="+mn-ea"/>
              <a:cs typeface="+mn-cs"/>
            </a:rPr>
            <a:t>Remote Employees</a:t>
          </a:r>
          <a:endParaRPr lang="en-US" sz="1500" b="0" i="0" u="none" strike="noStrike" baseline="0">
            <a:solidFill>
              <a:srgbClr val="000000"/>
            </a:solidFill>
            <a:latin typeface="Aptos Narrow"/>
          </a:endParaRPr>
        </a:p>
        <a:p>
          <a:pPr algn="r"/>
          <a:r>
            <a:rPr lang="en-US" sz="1100" b="0" i="0" u="none" strike="noStrike" baseline="0">
              <a:solidFill>
                <a:srgbClr val="000000"/>
              </a:solidFill>
              <a:latin typeface="Aptos Narrow"/>
            </a:rPr>
            <a:t>	</a:t>
          </a:r>
          <a:fld id="{3F45BCE2-D3DA-4774-A01B-248D168CD8D7}" type="TxLink">
            <a:rPr lang="en-US" sz="2000" b="1" i="0" u="none" strike="noStrike" baseline="0">
              <a:solidFill>
                <a:srgbClr val="000000"/>
              </a:solidFill>
              <a:latin typeface="Aptos Narrow"/>
            </a:rPr>
            <a:pPr algn="r"/>
            <a:t>32</a:t>
          </a:fld>
          <a:r>
            <a:rPr lang="en-US" sz="2000" b="1" i="0" u="none" strike="noStrike" baseline="0">
              <a:solidFill>
                <a:srgbClr val="000000"/>
              </a:solidFill>
              <a:latin typeface="Aptos Narrow"/>
            </a:rPr>
            <a:t> Employees</a:t>
          </a:r>
          <a:endParaRPr lang="en-US" sz="2000" b="1"/>
        </a:p>
      </xdr:txBody>
    </xdr:sp>
    <xdr:clientData/>
  </xdr:twoCellAnchor>
  <xdr:twoCellAnchor>
    <xdr:from>
      <xdr:col>17</xdr:col>
      <xdr:colOff>82551</xdr:colOff>
      <xdr:row>9</xdr:row>
      <xdr:rowOff>154045</xdr:rowOff>
    </xdr:from>
    <xdr:to>
      <xdr:col>17</xdr:col>
      <xdr:colOff>544906</xdr:colOff>
      <xdr:row>12</xdr:row>
      <xdr:rowOff>67214</xdr:rowOff>
    </xdr:to>
    <xdr:pic>
      <xdr:nvPicPr>
        <xdr:cNvPr id="29" name="Graphic 28" descr="Work from home Wi-Fi outline">
          <a:extLst>
            <a:ext uri="{FF2B5EF4-FFF2-40B4-BE49-F238E27FC236}">
              <a16:creationId xmlns:a16="http://schemas.microsoft.com/office/drawing/2014/main" id="{AB7638DC-E6DA-9C25-C0D0-246A3C59791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45751" y="2253778"/>
          <a:ext cx="462355" cy="471969"/>
        </a:xfrm>
        <a:prstGeom prst="rect">
          <a:avLst/>
        </a:prstGeom>
      </xdr:spPr>
    </xdr:pic>
    <xdr:clientData/>
  </xdr:twoCellAnchor>
  <xdr:twoCellAnchor>
    <xdr:from>
      <xdr:col>20</xdr:col>
      <xdr:colOff>381000</xdr:colOff>
      <xdr:row>7</xdr:row>
      <xdr:rowOff>109926</xdr:rowOff>
    </xdr:from>
    <xdr:to>
      <xdr:col>23</xdr:col>
      <xdr:colOff>574912</xdr:colOff>
      <xdr:row>14</xdr:row>
      <xdr:rowOff>21167</xdr:rowOff>
    </xdr:to>
    <xdr:sp macro="" textlink="">
      <xdr:nvSpPr>
        <xdr:cNvPr id="17" name="Rectangle 16">
          <a:extLst>
            <a:ext uri="{FF2B5EF4-FFF2-40B4-BE49-F238E27FC236}">
              <a16:creationId xmlns:a16="http://schemas.microsoft.com/office/drawing/2014/main" id="{A7864085-0510-46B0-B959-F70ABEC6984E}"/>
            </a:ext>
          </a:extLst>
        </xdr:cNvPr>
        <xdr:cNvSpPr/>
      </xdr:nvSpPr>
      <xdr:spPr>
        <a:xfrm>
          <a:off x="12573000" y="1837126"/>
          <a:ext cx="2022712" cy="1215108"/>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444105</xdr:colOff>
      <xdr:row>7</xdr:row>
      <xdr:rowOff>171909</xdr:rowOff>
    </xdr:from>
    <xdr:to>
      <xdr:col>23</xdr:col>
      <xdr:colOff>493121</xdr:colOff>
      <xdr:row>13</xdr:row>
      <xdr:rowOff>97580</xdr:rowOff>
    </xdr:to>
    <xdr:sp macro="" textlink="Pivots!M9">
      <xdr:nvSpPr>
        <xdr:cNvPr id="19" name="TextBox 18">
          <a:extLst>
            <a:ext uri="{FF2B5EF4-FFF2-40B4-BE49-F238E27FC236}">
              <a16:creationId xmlns:a16="http://schemas.microsoft.com/office/drawing/2014/main" id="{8997974F-93D5-4248-96B8-DFBBCFF3A2D0}"/>
            </a:ext>
          </a:extLst>
        </xdr:cNvPr>
        <xdr:cNvSpPr txBox="1"/>
      </xdr:nvSpPr>
      <xdr:spPr>
        <a:xfrm>
          <a:off x="12636105" y="1899109"/>
          <a:ext cx="1877816" cy="104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500" b="1" i="0" baseline="0">
              <a:solidFill>
                <a:schemeClr val="accent1">
                  <a:lumMod val="75000"/>
                </a:schemeClr>
              </a:solidFill>
              <a:effectLst/>
              <a:latin typeface="+mn-lt"/>
              <a:ea typeface="+mn-ea"/>
              <a:cs typeface="+mn-cs"/>
            </a:rPr>
            <a:t>Avg Years of Company</a:t>
          </a:r>
          <a:endParaRPr lang="en-US" sz="1500">
            <a:solidFill>
              <a:schemeClr val="accent1">
                <a:lumMod val="75000"/>
              </a:schemeClr>
            </a:solidFill>
            <a:effectLst/>
          </a:endParaRPr>
        </a:p>
        <a:p>
          <a:pPr algn="r"/>
          <a:r>
            <a:rPr lang="en-US" sz="2600" b="1" i="0" u="none" strike="noStrike">
              <a:solidFill>
                <a:srgbClr val="000000"/>
              </a:solidFill>
              <a:latin typeface="Aptos Narrow"/>
            </a:rPr>
            <a:t>    </a:t>
          </a:r>
          <a:fld id="{D0341E47-1EA2-453F-A263-B5527CF0DCC1}" type="TxLink">
            <a:rPr lang="en-US" sz="2000" b="1" i="0" u="none" strike="noStrike">
              <a:solidFill>
                <a:srgbClr val="000000"/>
              </a:solidFill>
              <a:latin typeface="Aptos Narrow"/>
            </a:rPr>
            <a:pPr algn="r"/>
            <a:t>5</a:t>
          </a:fld>
          <a:r>
            <a:rPr lang="ka-GE" sz="2000" b="1" i="0" u="none" strike="noStrike">
              <a:solidFill>
                <a:srgbClr val="000000"/>
              </a:solidFill>
              <a:latin typeface="Aptos Narrow"/>
            </a:rPr>
            <a:t> </a:t>
          </a:r>
          <a:r>
            <a:rPr lang="en-US" sz="2000" b="1" i="0" u="none" strike="noStrike">
              <a:solidFill>
                <a:srgbClr val="000000"/>
              </a:solidFill>
              <a:latin typeface="Aptos Narrow"/>
            </a:rPr>
            <a:t>Years</a:t>
          </a:r>
          <a:endParaRPr lang="en-US" sz="2000" b="1">
            <a:solidFill>
              <a:schemeClr val="accent1">
                <a:lumMod val="75000"/>
              </a:schemeClr>
            </a:solidFill>
          </a:endParaRPr>
        </a:p>
      </xdr:txBody>
    </xdr:sp>
    <xdr:clientData/>
  </xdr:twoCellAnchor>
  <xdr:twoCellAnchor>
    <xdr:from>
      <xdr:col>20</xdr:col>
      <xdr:colOff>482668</xdr:colOff>
      <xdr:row>10</xdr:row>
      <xdr:rowOff>106276</xdr:rowOff>
    </xdr:from>
    <xdr:to>
      <xdr:col>21</xdr:col>
      <xdr:colOff>334988</xdr:colOff>
      <xdr:row>13</xdr:row>
      <xdr:rowOff>22849</xdr:rowOff>
    </xdr:to>
    <xdr:pic>
      <xdr:nvPicPr>
        <xdr:cNvPr id="31" name="Graphic 30" descr="Clock with solid fill">
          <a:extLst>
            <a:ext uri="{FF2B5EF4-FFF2-40B4-BE49-F238E27FC236}">
              <a16:creationId xmlns:a16="http://schemas.microsoft.com/office/drawing/2014/main" id="{CE70E86C-03BF-0B61-2EB6-037704A4657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674668" y="2392276"/>
          <a:ext cx="461920" cy="475373"/>
        </a:xfrm>
        <a:prstGeom prst="rect">
          <a:avLst/>
        </a:prstGeom>
      </xdr:spPr>
    </xdr:pic>
    <xdr:clientData/>
  </xdr:twoCellAnchor>
  <xdr:twoCellAnchor editAs="oneCell">
    <xdr:from>
      <xdr:col>9</xdr:col>
      <xdr:colOff>430695</xdr:colOff>
      <xdr:row>0</xdr:row>
      <xdr:rowOff>0</xdr:rowOff>
    </xdr:from>
    <xdr:to>
      <xdr:col>18</xdr:col>
      <xdr:colOff>467832</xdr:colOff>
      <xdr:row>3</xdr:row>
      <xdr:rowOff>77755</xdr:rowOff>
    </xdr:to>
    <mc:AlternateContent xmlns:mc="http://schemas.openxmlformats.org/markup-compatibility/2006" xmlns:a14="http://schemas.microsoft.com/office/drawing/2010/main">
      <mc:Choice Requires="a14">
        <xdr:graphicFrame macro="">
          <xdr:nvGraphicFramePr>
            <xdr:cNvPr id="32" name="Department">
              <a:extLst>
                <a:ext uri="{FF2B5EF4-FFF2-40B4-BE49-F238E27FC236}">
                  <a16:creationId xmlns:a16="http://schemas.microsoft.com/office/drawing/2014/main" id="{4A266CCE-19C3-4C4C-B4B4-7E572B02455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982409" y="0"/>
              <a:ext cx="5588852" cy="622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209160</xdr:colOff>
      <xdr:row>0</xdr:row>
      <xdr:rowOff>0</xdr:rowOff>
    </xdr:from>
    <xdr:to>
      <xdr:col>24</xdr:col>
      <xdr:colOff>11351</xdr:colOff>
      <xdr:row>3</xdr:row>
      <xdr:rowOff>107675</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19E8AE3F-EF97-40F5-9A97-9EF7A651B51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29446" y="0"/>
              <a:ext cx="2886476" cy="651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421466</xdr:colOff>
      <xdr:row>3</xdr:row>
      <xdr:rowOff>213664</xdr:rowOff>
    </xdr:from>
    <xdr:to>
      <xdr:col>18</xdr:col>
      <xdr:colOff>453893</xdr:colOff>
      <xdr:row>6</xdr:row>
      <xdr:rowOff>132022</xdr:rowOff>
    </xdr:to>
    <mc:AlternateContent xmlns:mc="http://schemas.openxmlformats.org/markup-compatibility/2006" xmlns:a14="http://schemas.microsoft.com/office/drawing/2010/main">
      <mc:Choice Requires="a14">
        <xdr:graphicFrame macro="">
          <xdr:nvGraphicFramePr>
            <xdr:cNvPr id="34" name="City">
              <a:extLst>
                <a:ext uri="{FF2B5EF4-FFF2-40B4-BE49-F238E27FC236}">
                  <a16:creationId xmlns:a16="http://schemas.microsoft.com/office/drawing/2014/main" id="{CBC9D820-EF14-4FC0-8862-DE868DE6B53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973180" y="757950"/>
              <a:ext cx="5584142" cy="89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198116</xdr:colOff>
      <xdr:row>3</xdr:row>
      <xdr:rowOff>198980</xdr:rowOff>
    </xdr:from>
    <xdr:to>
      <xdr:col>24</xdr:col>
      <xdr:colOff>854</xdr:colOff>
      <xdr:row>5</xdr:row>
      <xdr:rowOff>49846</xdr:rowOff>
    </xdr:to>
    <mc:AlternateContent xmlns:mc="http://schemas.openxmlformats.org/markup-compatibility/2006" xmlns:a14="http://schemas.microsoft.com/office/drawing/2010/main">
      <mc:Choice Requires="a14">
        <xdr:graphicFrame macro="">
          <xdr:nvGraphicFramePr>
            <xdr:cNvPr id="35" name="Remote/Office">
              <a:extLst>
                <a:ext uri="{FF2B5EF4-FFF2-40B4-BE49-F238E27FC236}">
                  <a16:creationId xmlns:a16="http://schemas.microsoft.com/office/drawing/2014/main" id="{84D50D69-668C-4F14-9970-6903043CA202}"/>
                </a:ext>
              </a:extLst>
            </xdr:cNvPr>
            <xdr:cNvGraphicFramePr/>
          </xdr:nvGraphicFramePr>
          <xdr:xfrm>
            <a:off x="0" y="0"/>
            <a:ext cx="0" cy="0"/>
          </xdr:xfrm>
          <a:graphic>
            <a:graphicData uri="http://schemas.microsoft.com/office/drawing/2010/slicer">
              <sle:slicer xmlns:sle="http://schemas.microsoft.com/office/drawing/2010/slicer" name="Remote/Office"/>
            </a:graphicData>
          </a:graphic>
        </xdr:graphicFrame>
      </mc:Choice>
      <mc:Fallback xmlns="">
        <xdr:sp macro="" textlink="">
          <xdr:nvSpPr>
            <xdr:cNvPr id="0" name=""/>
            <xdr:cNvSpPr>
              <a:spLocks noTextEdit="1"/>
            </xdr:cNvSpPr>
          </xdr:nvSpPr>
          <xdr:spPr>
            <a:xfrm>
              <a:off x="11918402" y="743266"/>
              <a:ext cx="2887023" cy="649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329512</xdr:colOff>
      <xdr:row>15</xdr:row>
      <xdr:rowOff>175055</xdr:rowOff>
    </xdr:from>
    <xdr:to>
      <xdr:col>6</xdr:col>
      <xdr:colOff>229810</xdr:colOff>
      <xdr:row>34</xdr:row>
      <xdr:rowOff>0</xdr:rowOff>
    </xdr:to>
    <xdr:graphicFrame macro="">
      <xdr:nvGraphicFramePr>
        <xdr:cNvPr id="37" name="Chart 36">
          <a:extLst>
            <a:ext uri="{FF2B5EF4-FFF2-40B4-BE49-F238E27FC236}">
              <a16:creationId xmlns:a16="http://schemas.microsoft.com/office/drawing/2014/main" id="{DA4CBB77-D772-47CB-A61D-2E3479402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566352</xdr:colOff>
      <xdr:row>15</xdr:row>
      <xdr:rowOff>133866</xdr:rowOff>
    </xdr:from>
    <xdr:to>
      <xdr:col>14</xdr:col>
      <xdr:colOff>381000</xdr:colOff>
      <xdr:row>33</xdr:row>
      <xdr:rowOff>175055</xdr:rowOff>
    </xdr:to>
    <mc:AlternateContent xmlns:mc="http://schemas.openxmlformats.org/markup-compatibility/2006">
      <mc:Choice xmlns:we="http://schemas.microsoft.com/office/webextensions/webextension/2010/11" Requires="we">
        <xdr:graphicFrame macro="">
          <xdr:nvGraphicFramePr>
            <xdr:cNvPr id="38" name="Add-in 37">
              <a:extLst>
                <a:ext uri="{FF2B5EF4-FFF2-40B4-BE49-F238E27FC236}">
                  <a16:creationId xmlns:a16="http://schemas.microsoft.com/office/drawing/2014/main" id="{DE5A32FC-37D4-4FCC-972E-1C7664271A9E}"/>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4"/>
            </a:graphicData>
          </a:graphic>
        </xdr:graphicFrame>
      </mc:Choice>
      <mc:Fallback>
        <xdr:pic>
          <xdr:nvPicPr>
            <xdr:cNvPr id="38" name="Add-in 37">
              <a:extLst>
                <a:ext uri="{FF2B5EF4-FFF2-40B4-BE49-F238E27FC236}">
                  <a16:creationId xmlns:a16="http://schemas.microsoft.com/office/drawing/2014/main" id="{DE5A32FC-37D4-4FCC-972E-1C7664271A9E}"/>
                </a:ext>
              </a:extLst>
            </xdr:cNvPr>
            <xdr:cNvPicPr/>
          </xdr:nvPicPr>
          <xdr:blipFill>
            <a:blip xmlns:r="http://schemas.openxmlformats.org/officeDocument/2006/relationships" r:embed="rId15"/>
            <a:stretch>
              <a:fillRect/>
            </a:stretch>
          </xdr:blipFill>
          <xdr:spPr>
            <a:prstGeom prst="rect">
              <a:avLst/>
            </a:prstGeom>
          </xdr:spPr>
        </xdr:pic>
      </mc:Fallback>
    </mc:AlternateContent>
    <xdr:clientData/>
  </xdr:twoCellAnchor>
  <xdr:twoCellAnchor>
    <xdr:from>
      <xdr:col>6</xdr:col>
      <xdr:colOff>586946</xdr:colOff>
      <xdr:row>15</xdr:row>
      <xdr:rowOff>144163</xdr:rowOff>
    </xdr:from>
    <xdr:to>
      <xdr:col>14</xdr:col>
      <xdr:colOff>360405</xdr:colOff>
      <xdr:row>33</xdr:row>
      <xdr:rowOff>175054</xdr:rowOff>
    </xdr:to>
    <xdr:sp macro="" textlink="">
      <xdr:nvSpPr>
        <xdr:cNvPr id="39" name="Rectangle 38">
          <a:extLst>
            <a:ext uri="{FF2B5EF4-FFF2-40B4-BE49-F238E27FC236}">
              <a16:creationId xmlns:a16="http://schemas.microsoft.com/office/drawing/2014/main" id="{46638E3A-6585-1C27-E59E-BF0D98ADE298}"/>
            </a:ext>
          </a:extLst>
        </xdr:cNvPr>
        <xdr:cNvSpPr/>
      </xdr:nvSpPr>
      <xdr:spPr>
        <a:xfrm>
          <a:off x="5313405" y="3346622"/>
          <a:ext cx="4633784" cy="336721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72572</xdr:colOff>
      <xdr:row>15</xdr:row>
      <xdr:rowOff>123568</xdr:rowOff>
    </xdr:from>
    <xdr:to>
      <xdr:col>24</xdr:col>
      <xdr:colOff>1</xdr:colOff>
      <xdr:row>33</xdr:row>
      <xdr:rowOff>144162</xdr:rowOff>
    </xdr:to>
    <xdr:graphicFrame macro="">
      <xdr:nvGraphicFramePr>
        <xdr:cNvPr id="40" name="Chart 39">
          <a:extLst>
            <a:ext uri="{FF2B5EF4-FFF2-40B4-BE49-F238E27FC236}">
              <a16:creationId xmlns:a16="http://schemas.microsoft.com/office/drawing/2014/main" id="{A2E90B14-5A69-4BB2-A212-F9E8CF0EB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182263</xdr:colOff>
      <xdr:row>36</xdr:row>
      <xdr:rowOff>10174</xdr:rowOff>
    </xdr:from>
    <xdr:to>
      <xdr:col>11</xdr:col>
      <xdr:colOff>53309</xdr:colOff>
      <xdr:row>49</xdr:row>
      <xdr:rowOff>161910</xdr:rowOff>
    </xdr:to>
    <xdr:sp macro="" textlink="">
      <xdr:nvSpPr>
        <xdr:cNvPr id="42" name="Rectangle 41">
          <a:extLst>
            <a:ext uri="{FF2B5EF4-FFF2-40B4-BE49-F238E27FC236}">
              <a16:creationId xmlns:a16="http://schemas.microsoft.com/office/drawing/2014/main" id="{10D4FFF8-B886-570B-E59F-30A3B41EE95E}"/>
            </a:ext>
          </a:extLst>
        </xdr:cNvPr>
        <xdr:cNvSpPr/>
      </xdr:nvSpPr>
      <xdr:spPr>
        <a:xfrm>
          <a:off x="4279810" y="7155721"/>
          <a:ext cx="3494141" cy="258151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464057</xdr:colOff>
      <xdr:row>36</xdr:row>
      <xdr:rowOff>10174</xdr:rowOff>
    </xdr:from>
    <xdr:to>
      <xdr:col>17</xdr:col>
      <xdr:colOff>335104</xdr:colOff>
      <xdr:row>49</xdr:row>
      <xdr:rowOff>161910</xdr:rowOff>
    </xdr:to>
    <xdr:sp macro="" textlink="">
      <xdr:nvSpPr>
        <xdr:cNvPr id="44" name="Rectangle 43">
          <a:extLst>
            <a:ext uri="{FF2B5EF4-FFF2-40B4-BE49-F238E27FC236}">
              <a16:creationId xmlns:a16="http://schemas.microsoft.com/office/drawing/2014/main" id="{7C116AD7-E904-4AC2-BC1D-5E3A8D66A050}"/>
            </a:ext>
          </a:extLst>
        </xdr:cNvPr>
        <xdr:cNvSpPr/>
      </xdr:nvSpPr>
      <xdr:spPr>
        <a:xfrm>
          <a:off x="8184699" y="7155721"/>
          <a:ext cx="3494141" cy="258151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329512</xdr:colOff>
      <xdr:row>36</xdr:row>
      <xdr:rowOff>10582</xdr:rowOff>
    </xdr:from>
    <xdr:to>
      <xdr:col>5</xdr:col>
      <xdr:colOff>10583</xdr:colOff>
      <xdr:row>48</xdr:row>
      <xdr:rowOff>158749</xdr:rowOff>
    </xdr:to>
    <xdr:sp macro="" textlink="">
      <xdr:nvSpPr>
        <xdr:cNvPr id="45" name="Rectangle 44">
          <a:extLst>
            <a:ext uri="{FF2B5EF4-FFF2-40B4-BE49-F238E27FC236}">
              <a16:creationId xmlns:a16="http://schemas.microsoft.com/office/drawing/2014/main" id="{684667DE-2D1E-4DAE-8FC1-D07620EA7D11}"/>
            </a:ext>
          </a:extLst>
        </xdr:cNvPr>
        <xdr:cNvSpPr/>
      </xdr:nvSpPr>
      <xdr:spPr>
        <a:xfrm>
          <a:off x="329512" y="6921499"/>
          <a:ext cx="2750238" cy="230716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128954</xdr:colOff>
      <xdr:row>36</xdr:row>
      <xdr:rowOff>10174</xdr:rowOff>
    </xdr:from>
    <xdr:to>
      <xdr:col>24</xdr:col>
      <xdr:colOff>0</xdr:colOff>
      <xdr:row>49</xdr:row>
      <xdr:rowOff>161910</xdr:rowOff>
    </xdr:to>
    <xdr:sp macro="" textlink="">
      <xdr:nvSpPr>
        <xdr:cNvPr id="46" name="Rectangle 45">
          <a:extLst>
            <a:ext uri="{FF2B5EF4-FFF2-40B4-BE49-F238E27FC236}">
              <a16:creationId xmlns:a16="http://schemas.microsoft.com/office/drawing/2014/main" id="{B20988B3-B8EB-4F78-803A-22209E7F6547}"/>
            </a:ext>
          </a:extLst>
        </xdr:cNvPr>
        <xdr:cNvSpPr/>
      </xdr:nvSpPr>
      <xdr:spPr>
        <a:xfrm>
          <a:off x="12076539" y="7155721"/>
          <a:ext cx="3494140" cy="258151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328083</xdr:colOff>
      <xdr:row>36</xdr:row>
      <xdr:rowOff>31749</xdr:rowOff>
    </xdr:from>
    <xdr:to>
      <xdr:col>5</xdr:col>
      <xdr:colOff>-1</xdr:colOff>
      <xdr:row>48</xdr:row>
      <xdr:rowOff>158750</xdr:rowOff>
    </xdr:to>
    <xdr:graphicFrame macro="">
      <xdr:nvGraphicFramePr>
        <xdr:cNvPr id="47" name="Chart 46">
          <a:extLst>
            <a:ext uri="{FF2B5EF4-FFF2-40B4-BE49-F238E27FC236}">
              <a16:creationId xmlns:a16="http://schemas.microsoft.com/office/drawing/2014/main" id="{9064AC84-2CEA-4C35-9648-E632A9117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196642</xdr:colOff>
      <xdr:row>36</xdr:row>
      <xdr:rowOff>28755</xdr:rowOff>
    </xdr:from>
    <xdr:to>
      <xdr:col>11</xdr:col>
      <xdr:colOff>28755</xdr:colOff>
      <xdr:row>49</xdr:row>
      <xdr:rowOff>122317</xdr:rowOff>
    </xdr:to>
    <xdr:graphicFrame macro="">
      <xdr:nvGraphicFramePr>
        <xdr:cNvPr id="48" name="Chart 47">
          <a:extLst>
            <a:ext uri="{FF2B5EF4-FFF2-40B4-BE49-F238E27FC236}">
              <a16:creationId xmlns:a16="http://schemas.microsoft.com/office/drawing/2014/main" id="{1C41A4D7-A9D8-47B2-AAFB-CF81A16FB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464057</xdr:colOff>
      <xdr:row>36</xdr:row>
      <xdr:rowOff>10174</xdr:rowOff>
    </xdr:from>
    <xdr:to>
      <xdr:col>17</xdr:col>
      <xdr:colOff>330679</xdr:colOff>
      <xdr:row>49</xdr:row>
      <xdr:rowOff>158151</xdr:rowOff>
    </xdr:to>
    <xdr:graphicFrame macro="">
      <xdr:nvGraphicFramePr>
        <xdr:cNvPr id="49" name="Chart 48">
          <a:extLst>
            <a:ext uri="{FF2B5EF4-FFF2-40B4-BE49-F238E27FC236}">
              <a16:creationId xmlns:a16="http://schemas.microsoft.com/office/drawing/2014/main" id="{F32FBD42-8A73-483E-8C32-0F2F4F523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129395</xdr:colOff>
      <xdr:row>36</xdr:row>
      <xdr:rowOff>28755</xdr:rowOff>
    </xdr:from>
    <xdr:to>
      <xdr:col>24</xdr:col>
      <xdr:colOff>43132</xdr:colOff>
      <xdr:row>49</xdr:row>
      <xdr:rowOff>172528</xdr:rowOff>
    </xdr:to>
    <xdr:graphicFrame macro="">
      <xdr:nvGraphicFramePr>
        <xdr:cNvPr id="50" name="Chart 49">
          <a:extLst>
            <a:ext uri="{FF2B5EF4-FFF2-40B4-BE49-F238E27FC236}">
              <a16:creationId xmlns:a16="http://schemas.microsoft.com/office/drawing/2014/main" id="{8DA2232B-9C5C-4843-9F1D-893880428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566353</xdr:colOff>
      <xdr:row>51</xdr:row>
      <xdr:rowOff>117076</xdr:rowOff>
    </xdr:from>
    <xdr:to>
      <xdr:col>14</xdr:col>
      <xdr:colOff>389862</xdr:colOff>
      <xdr:row>69</xdr:row>
      <xdr:rowOff>97884</xdr:rowOff>
    </xdr:to>
    <xdr:sp macro="" textlink="">
      <xdr:nvSpPr>
        <xdr:cNvPr id="53" name="Rectangle 52">
          <a:extLst>
            <a:ext uri="{FF2B5EF4-FFF2-40B4-BE49-F238E27FC236}">
              <a16:creationId xmlns:a16="http://schemas.microsoft.com/office/drawing/2014/main" id="{08D24EF2-8970-52C2-B456-219EFB7CB55D}"/>
            </a:ext>
          </a:extLst>
        </xdr:cNvPr>
        <xdr:cNvSpPr/>
      </xdr:nvSpPr>
      <xdr:spPr>
        <a:xfrm>
          <a:off x="5292682" y="9888038"/>
          <a:ext cx="4684876" cy="3279593"/>
        </a:xfrm>
        <a:prstGeom prst="rect">
          <a:avLst/>
        </a:prstGeom>
      </xdr:spPr>
      <xdr:style>
        <a:lnRef idx="2">
          <a:schemeClr val="dk1"/>
        </a:lnRef>
        <a:fillRef idx="1">
          <a:schemeClr val="lt1"/>
        </a:fillRef>
        <a:effectRef idx="0">
          <a:schemeClr val="dk1"/>
        </a:effectRef>
        <a:fontRef idx="minor">
          <a:schemeClr val="dk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15</xdr:col>
      <xdr:colOff>494270</xdr:colOff>
      <xdr:row>51</xdr:row>
      <xdr:rowOff>117076</xdr:rowOff>
    </xdr:from>
    <xdr:to>
      <xdr:col>24</xdr:col>
      <xdr:colOff>53163</xdr:colOff>
      <xdr:row>69</xdr:row>
      <xdr:rowOff>100264</xdr:rowOff>
    </xdr:to>
    <xdr:sp macro="" textlink="">
      <xdr:nvSpPr>
        <xdr:cNvPr id="54" name="Rectangle 53">
          <a:extLst>
            <a:ext uri="{FF2B5EF4-FFF2-40B4-BE49-F238E27FC236}">
              <a16:creationId xmlns:a16="http://schemas.microsoft.com/office/drawing/2014/main" id="{DD30CA98-FE40-8650-FB95-86569617F14C}"/>
            </a:ext>
          </a:extLst>
        </xdr:cNvPr>
        <xdr:cNvSpPr/>
      </xdr:nvSpPr>
      <xdr:spPr>
        <a:xfrm>
          <a:off x="9517954" y="9742339"/>
          <a:ext cx="4973104" cy="3231714"/>
        </a:xfrm>
        <a:prstGeom prst="rect">
          <a:avLst/>
        </a:prstGeom>
      </xdr:spPr>
      <xdr:style>
        <a:lnRef idx="2">
          <a:schemeClr val="dk1"/>
        </a:lnRef>
        <a:fillRef idx="1">
          <a:schemeClr val="lt1"/>
        </a:fillRef>
        <a:effectRef idx="0">
          <a:schemeClr val="dk1"/>
        </a:effectRef>
        <a:fontRef idx="minor">
          <a:schemeClr val="dk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0</xdr:col>
      <xdr:colOff>112151</xdr:colOff>
      <xdr:row>51</xdr:row>
      <xdr:rowOff>125392</xdr:rowOff>
    </xdr:from>
    <xdr:to>
      <xdr:col>6</xdr:col>
      <xdr:colOff>48453</xdr:colOff>
      <xdr:row>69</xdr:row>
      <xdr:rowOff>96032</xdr:rowOff>
    </xdr:to>
    <xdr:graphicFrame macro="">
      <xdr:nvGraphicFramePr>
        <xdr:cNvPr id="56" name="Chart 55">
          <a:extLst>
            <a:ext uri="{FF2B5EF4-FFF2-40B4-BE49-F238E27FC236}">
              <a16:creationId xmlns:a16="http://schemas.microsoft.com/office/drawing/2014/main" id="{0BA7FBCD-6A75-4BFB-8437-C5D258624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151682</xdr:colOff>
      <xdr:row>51</xdr:row>
      <xdr:rowOff>117076</xdr:rowOff>
    </xdr:from>
    <xdr:to>
      <xdr:col>6</xdr:col>
      <xdr:colOff>81517</xdr:colOff>
      <xdr:row>69</xdr:row>
      <xdr:rowOff>91827</xdr:rowOff>
    </xdr:to>
    <xdr:sp macro="" textlink="">
      <xdr:nvSpPr>
        <xdr:cNvPr id="57" name="Rectangle 56">
          <a:extLst>
            <a:ext uri="{FF2B5EF4-FFF2-40B4-BE49-F238E27FC236}">
              <a16:creationId xmlns:a16="http://schemas.microsoft.com/office/drawing/2014/main" id="{78154A83-B328-4FB9-A319-0C1F6BE498B2}"/>
            </a:ext>
          </a:extLst>
        </xdr:cNvPr>
        <xdr:cNvSpPr/>
      </xdr:nvSpPr>
      <xdr:spPr>
        <a:xfrm>
          <a:off x="151682" y="9888038"/>
          <a:ext cx="4656164" cy="3273536"/>
        </a:xfrm>
        <a:prstGeom prst="rect">
          <a:avLst/>
        </a:prstGeom>
        <a:noFill/>
      </xdr:spPr>
      <xdr:style>
        <a:lnRef idx="2">
          <a:schemeClr val="dk1"/>
        </a:lnRef>
        <a:fillRef idx="1">
          <a:schemeClr val="lt1"/>
        </a:fillRef>
        <a:effectRef idx="0">
          <a:schemeClr val="dk1"/>
        </a:effectRef>
        <a:fontRef idx="minor">
          <a:schemeClr val="dk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6</xdr:col>
      <xdr:colOff>575998</xdr:colOff>
      <xdr:row>51</xdr:row>
      <xdr:rowOff>135038</xdr:rowOff>
    </xdr:from>
    <xdr:to>
      <xdr:col>14</xdr:col>
      <xdr:colOff>376176</xdr:colOff>
      <xdr:row>69</xdr:row>
      <xdr:rowOff>91997</xdr:rowOff>
    </xdr:to>
    <xdr:graphicFrame macro="">
      <xdr:nvGraphicFramePr>
        <xdr:cNvPr id="58" name="Chart 57">
          <a:extLst>
            <a:ext uri="{FF2B5EF4-FFF2-40B4-BE49-F238E27FC236}">
              <a16:creationId xmlns:a16="http://schemas.microsoft.com/office/drawing/2014/main" id="{C63981AC-7DF3-43FA-A67E-C7718E46E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15</xdr:col>
      <xdr:colOff>503916</xdr:colOff>
      <xdr:row>51</xdr:row>
      <xdr:rowOff>88138</xdr:rowOff>
    </xdr:from>
    <xdr:to>
      <xdr:col>24</xdr:col>
      <xdr:colOff>48228</xdr:colOff>
      <xdr:row>69</xdr:row>
      <xdr:rowOff>100264</xdr:rowOff>
    </xdr:to>
    <xdr:graphicFrame macro="">
      <xdr:nvGraphicFramePr>
        <xdr:cNvPr id="59" name="Chart 58">
          <a:extLst>
            <a:ext uri="{FF2B5EF4-FFF2-40B4-BE49-F238E27FC236}">
              <a16:creationId xmlns:a16="http://schemas.microsoft.com/office/drawing/2014/main" id="{DD4FB3B7-F2B1-4ECB-8B4E-6130974EB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3.82903912037" createdVersion="8" refreshedVersion="8" minRefreshableVersion="3" recordCount="100" xr:uid="{A893C438-EAC1-4FF6-A8BB-49CE5AE4FAEC}">
  <cacheSource type="worksheet">
    <worksheetSource name="Hr_data"/>
  </cacheSource>
  <cacheFields count="17">
    <cacheField name="Employee ID" numFmtId="0">
      <sharedItems/>
    </cacheField>
    <cacheField name="Department" numFmtId="0">
      <sharedItems count="6">
        <s v="Sales"/>
        <s v="Marketing"/>
        <s v="Finance"/>
        <s v="HR"/>
        <s v="Operations"/>
        <s v="IT"/>
      </sharedItems>
    </cacheField>
    <cacheField name="Position" numFmtId="0">
      <sharedItems/>
    </cacheField>
    <cacheField name="Gender" numFmtId="0">
      <sharedItems count="3">
        <s v="Not Specified"/>
        <s v="Female"/>
        <s v="Male"/>
      </sharedItems>
    </cacheField>
    <cacheField name="Age" numFmtId="0">
      <sharedItems containsSemiMixedTypes="0" containsString="0" containsNumber="1" containsInteger="1" minValue="22" maxValue="60" count="36">
        <n v="59"/>
        <n v="36"/>
        <n v="37"/>
        <n v="28"/>
        <n v="48"/>
        <n v="57"/>
        <n v="54"/>
        <n v="31"/>
        <n v="43"/>
        <n v="23"/>
        <n v="22"/>
        <n v="50"/>
        <n v="32"/>
        <n v="39"/>
        <n v="53"/>
        <n v="56"/>
        <n v="51"/>
        <n v="52"/>
        <n v="34"/>
        <n v="46"/>
        <n v="55"/>
        <n v="58"/>
        <n v="42"/>
        <n v="26"/>
        <n v="25"/>
        <n v="27"/>
        <n v="44"/>
        <n v="60"/>
        <n v="45"/>
        <n v="33"/>
        <n v="49"/>
        <n v="41"/>
        <n v="35"/>
        <n v="47"/>
        <n v="40"/>
        <n v="24"/>
      </sharedItems>
      <fieldGroup base="4">
        <rangePr startNum="22" endNum="60" groupInterval="5"/>
        <groupItems count="10">
          <s v="&lt;22"/>
          <s v="22-26"/>
          <s v="27-31"/>
          <s v="32-36"/>
          <s v="37-41"/>
          <s v="42-46"/>
          <s v="47-51"/>
          <s v="52-56"/>
          <s v="57-61"/>
          <s v="&gt;62"/>
        </groupItems>
      </fieldGroup>
    </cacheField>
    <cacheField name="Salary" numFmtId="0">
      <sharedItems containsSemiMixedTypes="0" containsString="0" containsNumber="1" containsInteger="1" minValue="1810" maxValue="8963"/>
    </cacheField>
    <cacheField name="Hire Date" numFmtId="14">
      <sharedItems containsSemiMixedTypes="0" containsNonDate="0" containsDate="1" containsString="0" minDate="2015-04-15T00:00:00" maxDate="2026-02-01T00:00:00" count="100">
        <d v="2023-07-04T00:00:00"/>
        <d v="2025-07-06T00:00:00"/>
        <d v="2015-05-29T00:00:00"/>
        <d v="2016-02-25T00:00:00"/>
        <d v="2020-07-17T00:00:00"/>
        <d v="2026-01-31T00:00:00"/>
        <d v="2016-06-23T00:00:00"/>
        <d v="2017-11-27T00:00:00"/>
        <d v="2018-01-18T00:00:00"/>
        <d v="2024-01-27T00:00:00"/>
        <d v="2017-08-06T00:00:00"/>
        <d v="2016-06-19T00:00:00"/>
        <d v="2020-04-25T00:00:00"/>
        <d v="2017-03-30T00:00:00"/>
        <d v="2019-11-02T00:00:00"/>
        <d v="2022-05-29T00:00:00"/>
        <d v="2016-02-26T00:00:00"/>
        <d v="2018-01-05T00:00:00"/>
        <d v="2015-12-21T00:00:00"/>
        <d v="2025-10-07T00:00:00"/>
        <d v="2023-06-28T00:00:00"/>
        <d v="2020-03-22T00:00:00"/>
        <d v="2021-12-23T00:00:00"/>
        <d v="2021-11-12T00:00:00"/>
        <d v="2015-09-12T00:00:00"/>
        <d v="2021-02-09T00:00:00"/>
        <d v="2021-09-29T00:00:00"/>
        <d v="2016-05-05T00:00:00"/>
        <d v="2024-10-04T00:00:00"/>
        <d v="2016-04-29T00:00:00"/>
        <d v="2019-02-16T00:00:00"/>
        <d v="2016-05-13T00:00:00"/>
        <d v="2022-06-21T00:00:00"/>
        <d v="2016-12-31T00:00:00"/>
        <d v="2023-02-26T00:00:00"/>
        <d v="2022-11-06T00:00:00"/>
        <d v="2023-04-26T00:00:00"/>
        <d v="2016-01-17T00:00:00"/>
        <d v="2016-12-27T00:00:00"/>
        <d v="2021-12-21T00:00:00"/>
        <d v="2021-11-08T00:00:00"/>
        <d v="2024-01-04T00:00:00"/>
        <d v="2023-10-23T00:00:00"/>
        <d v="2015-04-28T00:00:00"/>
        <d v="2021-07-13T00:00:00"/>
        <d v="2018-04-21T00:00:00"/>
        <d v="2015-09-29T00:00:00"/>
        <d v="2021-06-26T00:00:00"/>
        <d v="2021-04-14T00:00:00"/>
        <d v="2022-06-03T00:00:00"/>
        <d v="2018-03-05T00:00:00"/>
        <d v="2024-09-26T00:00:00"/>
        <d v="2020-01-23T00:00:00"/>
        <d v="2025-04-01T00:00:00"/>
        <d v="2021-04-04T00:00:00"/>
        <d v="2021-02-17T00:00:00"/>
        <d v="2024-01-09T00:00:00"/>
        <d v="2015-12-25T00:00:00"/>
        <d v="2015-07-01T00:00:00"/>
        <d v="2025-01-02T00:00:00"/>
        <d v="2017-05-01T00:00:00"/>
        <d v="2020-01-16T00:00:00"/>
        <d v="2019-07-04T00:00:00"/>
        <d v="2018-12-12T00:00:00"/>
        <d v="2025-12-15T00:00:00"/>
        <d v="2025-01-21T00:00:00"/>
        <d v="2024-06-29T00:00:00"/>
        <d v="2016-10-20T00:00:00"/>
        <d v="2019-06-03T00:00:00"/>
        <d v="2023-03-01T00:00:00"/>
        <d v="2022-01-26T00:00:00"/>
        <d v="2025-05-05T00:00:00"/>
        <d v="2017-10-20T00:00:00"/>
        <d v="2016-03-30T00:00:00"/>
        <d v="2020-10-29T00:00:00"/>
        <d v="2015-04-15T00:00:00"/>
        <d v="2020-10-18T00:00:00"/>
        <d v="2026-01-18T00:00:00"/>
        <d v="2021-07-12T00:00:00"/>
        <d v="2021-12-16T00:00:00"/>
        <d v="2017-09-19T00:00:00"/>
        <d v="2022-07-03T00:00:00"/>
        <d v="2024-01-14T00:00:00"/>
        <d v="2023-01-18T00:00:00"/>
        <d v="2022-12-21T00:00:00"/>
        <d v="2019-09-19T00:00:00"/>
        <d v="2019-02-26T00:00:00"/>
        <d v="2018-05-22T00:00:00"/>
        <d v="2019-10-03T00:00:00"/>
        <d v="2025-04-08T00:00:00"/>
        <d v="2021-06-10T00:00:00"/>
        <d v="2024-09-13T00:00:00"/>
        <d v="2025-07-18T00:00:00"/>
        <d v="2016-05-17T00:00:00"/>
        <d v="2022-10-25T00:00:00"/>
        <d v="2016-12-30T00:00:00"/>
        <d v="2022-05-01T00:00:00"/>
        <d v="2018-10-14T00:00:00"/>
        <d v="2015-07-28T00:00:00"/>
        <d v="2025-09-08T00:00:00"/>
      </sharedItems>
      <fieldGroup par="16"/>
    </cacheField>
    <cacheField name="Years at Company" numFmtId="0">
      <sharedItems containsSemiMixedTypes="0" containsString="0" containsNumber="1" containsInteger="1" minValue="0" maxValue="11"/>
    </cacheField>
    <cacheField name="Education" numFmtId="0">
      <sharedItems count="4">
        <s v="Bachelor's"/>
        <s v="High School"/>
        <s v="Master's"/>
        <s v="PhD"/>
      </sharedItems>
    </cacheField>
    <cacheField name="Performance Rating" numFmtId="0">
      <sharedItems count="4">
        <s v="Good"/>
        <s v="Needs Improvement"/>
        <s v="Excellent"/>
        <s v="Average"/>
      </sharedItems>
    </cacheField>
    <cacheField name="Performance Rating Num" numFmtId="0">
      <sharedItems containsSemiMixedTypes="0" containsString="0" containsNumber="1" containsInteger="1" minValue="1" maxValue="4"/>
    </cacheField>
    <cacheField name="Overtime" numFmtId="0">
      <sharedItems count="2">
        <s v="No"/>
        <s v="Yes"/>
      </sharedItems>
    </cacheField>
    <cacheField name="Remote/Office" numFmtId="0">
      <sharedItems count="3">
        <s v="Hybrid"/>
        <s v="Office"/>
        <s v="Remote"/>
      </sharedItems>
    </cacheField>
    <cacheField name="City" numFmtId="0">
      <sharedItems count="7">
        <s v="Gori"/>
        <s v="Telavi"/>
        <s v="Batumi"/>
        <s v="Zugdidi"/>
        <s v="Rustavi"/>
        <s v="Tbilisi"/>
        <s v="Kutaisi"/>
      </sharedItems>
    </cacheField>
    <cacheField name="Months (Hire Date)" numFmtId="0" databaseField="0">
      <fieldGroup base="6">
        <rangePr groupBy="months" startDate="2015-04-15T00:00:00" endDate="2026-02-01T00:00:00"/>
        <groupItems count="14">
          <s v="&lt;4/15/2015"/>
          <s v="Jan"/>
          <s v="Feb"/>
          <s v="Mar"/>
          <s v="Apr"/>
          <s v="May"/>
          <s v="Jun"/>
          <s v="Jul"/>
          <s v="Aug"/>
          <s v="Sep"/>
          <s v="Oct"/>
          <s v="Nov"/>
          <s v="Dec"/>
          <s v="&gt;2/1/2026"/>
        </groupItems>
      </fieldGroup>
    </cacheField>
    <cacheField name="Quarters (Hire Date)" numFmtId="0" databaseField="0">
      <fieldGroup base="6">
        <rangePr groupBy="quarters" startDate="2015-04-15T00:00:00" endDate="2026-02-01T00:00:00"/>
        <groupItems count="6">
          <s v="&lt;4/15/2015"/>
          <s v="Qtr1"/>
          <s v="Qtr2"/>
          <s v="Qtr3"/>
          <s v="Qtr4"/>
          <s v="&gt;2/1/2026"/>
        </groupItems>
      </fieldGroup>
    </cacheField>
    <cacheField name="Years (Hire Date)" numFmtId="0" databaseField="0">
      <fieldGroup base="6">
        <rangePr groupBy="years" startDate="2015-04-15T00:00:00" endDate="2026-02-01T00:00:00"/>
        <groupItems count="14">
          <s v="&lt;4/15/2015"/>
          <s v="2015"/>
          <s v="2016"/>
          <s v="2017"/>
          <s v="2018"/>
          <s v="2019"/>
          <s v="2020"/>
          <s v="2021"/>
          <s v="2022"/>
          <s v="2023"/>
          <s v="2024"/>
          <s v="2025"/>
          <s v="2026"/>
          <s v="&gt;2/1/2026"/>
        </groupItems>
      </fieldGroup>
    </cacheField>
  </cacheFields>
  <extLst>
    <ext xmlns:x14="http://schemas.microsoft.com/office/spreadsheetml/2009/9/main" uri="{725AE2AE-9491-48be-B2B4-4EB974FC3084}">
      <x14:pivotCacheDefinition pivotCacheId="1181818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MP0001"/>
    <x v="0"/>
    <s v="Account Manager"/>
    <x v="0"/>
    <x v="0"/>
    <n v="6571"/>
    <x v="0"/>
    <n v="2"/>
    <x v="0"/>
    <x v="0"/>
    <n v="3"/>
    <x v="0"/>
    <x v="0"/>
    <x v="0"/>
  </r>
  <r>
    <s v="EMP0002"/>
    <x v="1"/>
    <s v="Content Manager"/>
    <x v="1"/>
    <x v="1"/>
    <n v="7667"/>
    <x v="1"/>
    <n v="0"/>
    <x v="1"/>
    <x v="0"/>
    <n v="3"/>
    <x v="0"/>
    <x v="1"/>
    <x v="1"/>
  </r>
  <r>
    <s v="EMP0003"/>
    <x v="2"/>
    <s v="Finance Manager"/>
    <x v="0"/>
    <x v="2"/>
    <n v="7675"/>
    <x v="2"/>
    <n v="11"/>
    <x v="0"/>
    <x v="1"/>
    <n v="1"/>
    <x v="1"/>
    <x v="0"/>
    <x v="0"/>
  </r>
  <r>
    <s v="EMP0004"/>
    <x v="3"/>
    <s v="HR Specialist"/>
    <x v="2"/>
    <x v="3"/>
    <n v="7703"/>
    <x v="3"/>
    <n v="10"/>
    <x v="2"/>
    <x v="0"/>
    <n v="3"/>
    <x v="1"/>
    <x v="0"/>
    <x v="2"/>
  </r>
  <r>
    <s v="EMP0005"/>
    <x v="2"/>
    <s v="Finance Manager"/>
    <x v="0"/>
    <x v="4"/>
    <n v="4857"/>
    <x v="4"/>
    <n v="5"/>
    <x v="2"/>
    <x v="0"/>
    <n v="3"/>
    <x v="1"/>
    <x v="0"/>
    <x v="2"/>
  </r>
  <r>
    <s v="EMP0006"/>
    <x v="4"/>
    <s v="Operations Coordinator"/>
    <x v="2"/>
    <x v="2"/>
    <n v="5402"/>
    <x v="5"/>
    <n v="0"/>
    <x v="1"/>
    <x v="2"/>
    <n v="4"/>
    <x v="1"/>
    <x v="0"/>
    <x v="3"/>
  </r>
  <r>
    <s v="EMP0007"/>
    <x v="4"/>
    <s v="Operations Coordinator"/>
    <x v="1"/>
    <x v="5"/>
    <n v="4563"/>
    <x v="6"/>
    <n v="10"/>
    <x v="3"/>
    <x v="1"/>
    <n v="1"/>
    <x v="0"/>
    <x v="2"/>
    <x v="0"/>
  </r>
  <r>
    <s v="EMP0008"/>
    <x v="3"/>
    <s v="Recruiter"/>
    <x v="2"/>
    <x v="6"/>
    <n v="2642"/>
    <x v="7"/>
    <n v="8"/>
    <x v="0"/>
    <x v="3"/>
    <n v="2"/>
    <x v="0"/>
    <x v="2"/>
    <x v="3"/>
  </r>
  <r>
    <s v="EMP0009"/>
    <x v="4"/>
    <s v="Operations Manager"/>
    <x v="0"/>
    <x v="7"/>
    <n v="8120"/>
    <x v="8"/>
    <n v="8"/>
    <x v="2"/>
    <x v="2"/>
    <n v="4"/>
    <x v="1"/>
    <x v="0"/>
    <x v="3"/>
  </r>
  <r>
    <s v="EMP0010"/>
    <x v="1"/>
    <s v="Content Manager"/>
    <x v="1"/>
    <x v="8"/>
    <n v="5501"/>
    <x v="9"/>
    <n v="2"/>
    <x v="0"/>
    <x v="2"/>
    <n v="4"/>
    <x v="0"/>
    <x v="2"/>
    <x v="4"/>
  </r>
  <r>
    <s v="EMP0011"/>
    <x v="2"/>
    <s v="Finance Manager"/>
    <x v="0"/>
    <x v="9"/>
    <n v="3129"/>
    <x v="10"/>
    <n v="8"/>
    <x v="0"/>
    <x v="2"/>
    <n v="4"/>
    <x v="0"/>
    <x v="1"/>
    <x v="0"/>
  </r>
  <r>
    <s v="EMP0012"/>
    <x v="5"/>
    <s v="System Administrator"/>
    <x v="1"/>
    <x v="10"/>
    <n v="3910"/>
    <x v="11"/>
    <n v="10"/>
    <x v="3"/>
    <x v="2"/>
    <n v="4"/>
    <x v="0"/>
    <x v="2"/>
    <x v="3"/>
  </r>
  <r>
    <s v="EMP0013"/>
    <x v="4"/>
    <s v="Operations Coordinator"/>
    <x v="0"/>
    <x v="11"/>
    <n v="7491"/>
    <x v="12"/>
    <n v="6"/>
    <x v="3"/>
    <x v="2"/>
    <n v="4"/>
    <x v="0"/>
    <x v="2"/>
    <x v="2"/>
  </r>
  <r>
    <s v="EMP0014"/>
    <x v="0"/>
    <s v="Account Manager"/>
    <x v="0"/>
    <x v="12"/>
    <n v="8714"/>
    <x v="13"/>
    <n v="9"/>
    <x v="0"/>
    <x v="2"/>
    <n v="4"/>
    <x v="0"/>
    <x v="0"/>
    <x v="5"/>
  </r>
  <r>
    <s v="EMP0015"/>
    <x v="4"/>
    <s v="Operations Coordinator"/>
    <x v="2"/>
    <x v="3"/>
    <n v="7684"/>
    <x v="14"/>
    <n v="6"/>
    <x v="3"/>
    <x v="3"/>
    <n v="2"/>
    <x v="0"/>
    <x v="1"/>
    <x v="5"/>
  </r>
  <r>
    <s v="EMP0016"/>
    <x v="5"/>
    <s v="Software Engineer"/>
    <x v="1"/>
    <x v="11"/>
    <n v="3717"/>
    <x v="15"/>
    <n v="4"/>
    <x v="3"/>
    <x v="3"/>
    <n v="2"/>
    <x v="0"/>
    <x v="2"/>
    <x v="1"/>
  </r>
  <r>
    <s v="EMP0017"/>
    <x v="4"/>
    <s v="Operations Coordinator"/>
    <x v="2"/>
    <x v="0"/>
    <n v="2738"/>
    <x v="16"/>
    <n v="10"/>
    <x v="2"/>
    <x v="2"/>
    <n v="4"/>
    <x v="0"/>
    <x v="2"/>
    <x v="6"/>
  </r>
  <r>
    <s v="EMP0018"/>
    <x v="3"/>
    <s v="HR Manager"/>
    <x v="1"/>
    <x v="13"/>
    <n v="4773"/>
    <x v="17"/>
    <n v="8"/>
    <x v="3"/>
    <x v="1"/>
    <n v="1"/>
    <x v="1"/>
    <x v="1"/>
    <x v="2"/>
  </r>
  <r>
    <s v="EMP0019"/>
    <x v="2"/>
    <s v="Financial Analyst"/>
    <x v="1"/>
    <x v="0"/>
    <n v="7992"/>
    <x v="18"/>
    <n v="10"/>
    <x v="1"/>
    <x v="3"/>
    <n v="2"/>
    <x v="1"/>
    <x v="0"/>
    <x v="0"/>
  </r>
  <r>
    <s v="EMP0020"/>
    <x v="1"/>
    <s v="Content Manager"/>
    <x v="2"/>
    <x v="14"/>
    <n v="7201"/>
    <x v="19"/>
    <n v="0"/>
    <x v="2"/>
    <x v="1"/>
    <n v="1"/>
    <x v="1"/>
    <x v="1"/>
    <x v="6"/>
  </r>
  <r>
    <s v="EMP0021"/>
    <x v="3"/>
    <s v="Recruiter"/>
    <x v="2"/>
    <x v="8"/>
    <n v="8963"/>
    <x v="20"/>
    <n v="3"/>
    <x v="2"/>
    <x v="3"/>
    <n v="2"/>
    <x v="0"/>
    <x v="2"/>
    <x v="1"/>
  </r>
  <r>
    <s v="EMP0022"/>
    <x v="3"/>
    <s v="HR Specialist"/>
    <x v="0"/>
    <x v="1"/>
    <n v="7602"/>
    <x v="21"/>
    <n v="6"/>
    <x v="3"/>
    <x v="1"/>
    <n v="1"/>
    <x v="0"/>
    <x v="0"/>
    <x v="6"/>
  </r>
  <r>
    <s v="EMP0023"/>
    <x v="2"/>
    <s v="Finance Manager"/>
    <x v="0"/>
    <x v="6"/>
    <n v="5334"/>
    <x v="22"/>
    <n v="4"/>
    <x v="0"/>
    <x v="0"/>
    <n v="3"/>
    <x v="1"/>
    <x v="0"/>
    <x v="4"/>
  </r>
  <r>
    <s v="EMP0024"/>
    <x v="4"/>
    <s v="Operations Manager"/>
    <x v="1"/>
    <x v="15"/>
    <n v="4696"/>
    <x v="23"/>
    <n v="4"/>
    <x v="2"/>
    <x v="2"/>
    <n v="4"/>
    <x v="0"/>
    <x v="1"/>
    <x v="1"/>
  </r>
  <r>
    <s v="EMP0025"/>
    <x v="2"/>
    <s v="Financial Analyst"/>
    <x v="0"/>
    <x v="16"/>
    <n v="3938"/>
    <x v="24"/>
    <n v="10"/>
    <x v="3"/>
    <x v="3"/>
    <n v="2"/>
    <x v="0"/>
    <x v="0"/>
    <x v="4"/>
  </r>
  <r>
    <s v="EMP0026"/>
    <x v="5"/>
    <s v="System Administrator"/>
    <x v="2"/>
    <x v="16"/>
    <n v="2361"/>
    <x v="25"/>
    <n v="5"/>
    <x v="0"/>
    <x v="2"/>
    <n v="4"/>
    <x v="1"/>
    <x v="0"/>
    <x v="4"/>
  </r>
  <r>
    <s v="EMP0027"/>
    <x v="0"/>
    <s v="Sales Manager"/>
    <x v="0"/>
    <x v="17"/>
    <n v="2603"/>
    <x v="26"/>
    <n v="4"/>
    <x v="2"/>
    <x v="3"/>
    <n v="2"/>
    <x v="1"/>
    <x v="1"/>
    <x v="3"/>
  </r>
  <r>
    <s v="EMP0028"/>
    <x v="3"/>
    <s v="HR Manager"/>
    <x v="1"/>
    <x v="12"/>
    <n v="5343"/>
    <x v="27"/>
    <n v="10"/>
    <x v="3"/>
    <x v="2"/>
    <n v="4"/>
    <x v="1"/>
    <x v="1"/>
    <x v="0"/>
  </r>
  <r>
    <s v="EMP0029"/>
    <x v="5"/>
    <s v="System Administrator"/>
    <x v="1"/>
    <x v="18"/>
    <n v="7688"/>
    <x v="28"/>
    <n v="1"/>
    <x v="1"/>
    <x v="0"/>
    <n v="3"/>
    <x v="0"/>
    <x v="1"/>
    <x v="1"/>
  </r>
  <r>
    <s v="EMP0030"/>
    <x v="3"/>
    <s v="HR Specialist"/>
    <x v="0"/>
    <x v="8"/>
    <n v="5464"/>
    <x v="29"/>
    <n v="10"/>
    <x v="3"/>
    <x v="3"/>
    <n v="2"/>
    <x v="0"/>
    <x v="1"/>
    <x v="4"/>
  </r>
  <r>
    <s v="EMP0031"/>
    <x v="3"/>
    <s v="Recruiter"/>
    <x v="0"/>
    <x v="18"/>
    <n v="2245"/>
    <x v="30"/>
    <n v="7"/>
    <x v="0"/>
    <x v="2"/>
    <n v="4"/>
    <x v="0"/>
    <x v="0"/>
    <x v="6"/>
  </r>
  <r>
    <s v="EMP0032"/>
    <x v="0"/>
    <s v="Sales Manager"/>
    <x v="1"/>
    <x v="13"/>
    <n v="1810"/>
    <x v="31"/>
    <n v="10"/>
    <x v="0"/>
    <x v="1"/>
    <n v="1"/>
    <x v="1"/>
    <x v="2"/>
    <x v="2"/>
  </r>
  <r>
    <s v="EMP0033"/>
    <x v="1"/>
    <s v="Content Manager"/>
    <x v="2"/>
    <x v="3"/>
    <n v="6130"/>
    <x v="32"/>
    <n v="4"/>
    <x v="3"/>
    <x v="1"/>
    <n v="1"/>
    <x v="1"/>
    <x v="0"/>
    <x v="5"/>
  </r>
  <r>
    <s v="EMP0034"/>
    <x v="4"/>
    <s v="Operations Coordinator"/>
    <x v="2"/>
    <x v="12"/>
    <n v="7870"/>
    <x v="33"/>
    <n v="9"/>
    <x v="1"/>
    <x v="1"/>
    <n v="1"/>
    <x v="0"/>
    <x v="1"/>
    <x v="5"/>
  </r>
  <r>
    <s v="EMP0035"/>
    <x v="2"/>
    <s v="Financial Analyst"/>
    <x v="1"/>
    <x v="19"/>
    <n v="6827"/>
    <x v="34"/>
    <n v="3"/>
    <x v="1"/>
    <x v="1"/>
    <n v="1"/>
    <x v="0"/>
    <x v="0"/>
    <x v="3"/>
  </r>
  <r>
    <s v="EMP0036"/>
    <x v="1"/>
    <s v="Marketing Specialist"/>
    <x v="0"/>
    <x v="6"/>
    <n v="7064"/>
    <x v="35"/>
    <n v="3"/>
    <x v="1"/>
    <x v="3"/>
    <n v="2"/>
    <x v="0"/>
    <x v="1"/>
    <x v="2"/>
  </r>
  <r>
    <s v="EMP0037"/>
    <x v="0"/>
    <s v="Sales Manager"/>
    <x v="1"/>
    <x v="11"/>
    <n v="8508"/>
    <x v="36"/>
    <n v="3"/>
    <x v="3"/>
    <x v="3"/>
    <n v="2"/>
    <x v="0"/>
    <x v="1"/>
    <x v="3"/>
  </r>
  <r>
    <s v="EMP0038"/>
    <x v="1"/>
    <s v="Content Manager"/>
    <x v="0"/>
    <x v="17"/>
    <n v="6087"/>
    <x v="37"/>
    <n v="10"/>
    <x v="0"/>
    <x v="3"/>
    <n v="2"/>
    <x v="1"/>
    <x v="0"/>
    <x v="2"/>
  </r>
  <r>
    <s v="EMP0039"/>
    <x v="0"/>
    <s v="Account Manager"/>
    <x v="2"/>
    <x v="20"/>
    <n v="2968"/>
    <x v="38"/>
    <n v="9"/>
    <x v="1"/>
    <x v="0"/>
    <n v="3"/>
    <x v="1"/>
    <x v="0"/>
    <x v="4"/>
  </r>
  <r>
    <s v="EMP0040"/>
    <x v="1"/>
    <s v="Digital Marketing"/>
    <x v="1"/>
    <x v="15"/>
    <n v="6308"/>
    <x v="39"/>
    <n v="4"/>
    <x v="1"/>
    <x v="2"/>
    <n v="4"/>
    <x v="1"/>
    <x v="0"/>
    <x v="2"/>
  </r>
  <r>
    <s v="EMP0041"/>
    <x v="5"/>
    <s v="System Administrator"/>
    <x v="1"/>
    <x v="21"/>
    <n v="7019"/>
    <x v="40"/>
    <n v="4"/>
    <x v="3"/>
    <x v="1"/>
    <n v="1"/>
    <x v="0"/>
    <x v="0"/>
    <x v="5"/>
  </r>
  <r>
    <s v="EMP0042"/>
    <x v="5"/>
    <s v="System Administrator"/>
    <x v="0"/>
    <x v="22"/>
    <n v="8886"/>
    <x v="41"/>
    <n v="2"/>
    <x v="3"/>
    <x v="0"/>
    <n v="3"/>
    <x v="1"/>
    <x v="2"/>
    <x v="2"/>
  </r>
  <r>
    <s v="EMP0043"/>
    <x v="2"/>
    <s v="Finance Manager"/>
    <x v="2"/>
    <x v="15"/>
    <n v="4359"/>
    <x v="42"/>
    <n v="2"/>
    <x v="1"/>
    <x v="2"/>
    <n v="4"/>
    <x v="0"/>
    <x v="2"/>
    <x v="5"/>
  </r>
  <r>
    <s v="EMP0044"/>
    <x v="0"/>
    <s v="Sales Representative"/>
    <x v="1"/>
    <x v="0"/>
    <n v="2619"/>
    <x v="43"/>
    <n v="11"/>
    <x v="1"/>
    <x v="3"/>
    <n v="2"/>
    <x v="1"/>
    <x v="2"/>
    <x v="0"/>
  </r>
  <r>
    <s v="EMP0045"/>
    <x v="3"/>
    <s v="HR Manager"/>
    <x v="0"/>
    <x v="7"/>
    <n v="3807"/>
    <x v="44"/>
    <n v="4"/>
    <x v="1"/>
    <x v="1"/>
    <n v="1"/>
    <x v="0"/>
    <x v="1"/>
    <x v="5"/>
  </r>
  <r>
    <s v="EMP0046"/>
    <x v="0"/>
    <s v="Sales Manager"/>
    <x v="2"/>
    <x v="3"/>
    <n v="2991"/>
    <x v="45"/>
    <n v="8"/>
    <x v="1"/>
    <x v="0"/>
    <n v="3"/>
    <x v="0"/>
    <x v="0"/>
    <x v="0"/>
  </r>
  <r>
    <s v="EMP0047"/>
    <x v="5"/>
    <s v="Software Engineer"/>
    <x v="1"/>
    <x v="16"/>
    <n v="5175"/>
    <x v="46"/>
    <n v="10"/>
    <x v="0"/>
    <x v="0"/>
    <n v="3"/>
    <x v="0"/>
    <x v="1"/>
    <x v="2"/>
  </r>
  <r>
    <s v="EMP0048"/>
    <x v="0"/>
    <s v="Account Manager"/>
    <x v="0"/>
    <x v="23"/>
    <n v="6135"/>
    <x v="47"/>
    <n v="5"/>
    <x v="1"/>
    <x v="3"/>
    <n v="2"/>
    <x v="1"/>
    <x v="1"/>
    <x v="5"/>
  </r>
  <r>
    <s v="EMP0049"/>
    <x v="1"/>
    <s v="Content Manager"/>
    <x v="2"/>
    <x v="24"/>
    <n v="8796"/>
    <x v="48"/>
    <n v="5"/>
    <x v="0"/>
    <x v="1"/>
    <n v="1"/>
    <x v="0"/>
    <x v="2"/>
    <x v="1"/>
  </r>
  <r>
    <s v="EMP0050"/>
    <x v="0"/>
    <s v="Sales Representative"/>
    <x v="2"/>
    <x v="25"/>
    <n v="4667"/>
    <x v="49"/>
    <n v="4"/>
    <x v="0"/>
    <x v="1"/>
    <n v="1"/>
    <x v="0"/>
    <x v="1"/>
    <x v="1"/>
  </r>
  <r>
    <s v="EMP0051"/>
    <x v="5"/>
    <s v="Data Analyst"/>
    <x v="1"/>
    <x v="17"/>
    <n v="8761"/>
    <x v="50"/>
    <n v="8"/>
    <x v="1"/>
    <x v="0"/>
    <n v="3"/>
    <x v="0"/>
    <x v="1"/>
    <x v="1"/>
  </r>
  <r>
    <s v="EMP0052"/>
    <x v="0"/>
    <s v="Sales Representative"/>
    <x v="1"/>
    <x v="26"/>
    <n v="7721"/>
    <x v="51"/>
    <n v="1"/>
    <x v="3"/>
    <x v="0"/>
    <n v="3"/>
    <x v="0"/>
    <x v="1"/>
    <x v="4"/>
  </r>
  <r>
    <s v="EMP0053"/>
    <x v="4"/>
    <s v="Operations Coordinator"/>
    <x v="0"/>
    <x v="27"/>
    <n v="4704"/>
    <x v="52"/>
    <n v="6"/>
    <x v="3"/>
    <x v="1"/>
    <n v="1"/>
    <x v="1"/>
    <x v="0"/>
    <x v="0"/>
  </r>
  <r>
    <s v="EMP0054"/>
    <x v="4"/>
    <s v="Operations Manager"/>
    <x v="2"/>
    <x v="14"/>
    <n v="3567"/>
    <x v="53"/>
    <n v="1"/>
    <x v="0"/>
    <x v="1"/>
    <n v="1"/>
    <x v="1"/>
    <x v="1"/>
    <x v="0"/>
  </r>
  <r>
    <s v="EMP0055"/>
    <x v="5"/>
    <s v="Data Analyst"/>
    <x v="0"/>
    <x v="20"/>
    <n v="1871"/>
    <x v="54"/>
    <n v="5"/>
    <x v="3"/>
    <x v="1"/>
    <n v="1"/>
    <x v="0"/>
    <x v="1"/>
    <x v="1"/>
  </r>
  <r>
    <s v="EMP0056"/>
    <x v="4"/>
    <s v="Operations Coordinator"/>
    <x v="2"/>
    <x v="28"/>
    <n v="4517"/>
    <x v="55"/>
    <n v="5"/>
    <x v="2"/>
    <x v="2"/>
    <n v="4"/>
    <x v="0"/>
    <x v="1"/>
    <x v="0"/>
  </r>
  <r>
    <s v="EMP0057"/>
    <x v="0"/>
    <s v="Account Manager"/>
    <x v="0"/>
    <x v="2"/>
    <n v="4477"/>
    <x v="56"/>
    <n v="2"/>
    <x v="2"/>
    <x v="3"/>
    <n v="2"/>
    <x v="1"/>
    <x v="0"/>
    <x v="2"/>
  </r>
  <r>
    <s v="EMP0058"/>
    <x v="1"/>
    <s v="Digital Marketing"/>
    <x v="0"/>
    <x v="12"/>
    <n v="8534"/>
    <x v="57"/>
    <n v="10"/>
    <x v="3"/>
    <x v="1"/>
    <n v="1"/>
    <x v="1"/>
    <x v="2"/>
    <x v="1"/>
  </r>
  <r>
    <s v="EMP0059"/>
    <x v="4"/>
    <s v="Operations Coordinator"/>
    <x v="1"/>
    <x v="29"/>
    <n v="6307"/>
    <x v="58"/>
    <n v="11"/>
    <x v="0"/>
    <x v="2"/>
    <n v="4"/>
    <x v="0"/>
    <x v="0"/>
    <x v="0"/>
  </r>
  <r>
    <s v="EMP0060"/>
    <x v="3"/>
    <s v="Recruiter"/>
    <x v="2"/>
    <x v="5"/>
    <n v="6399"/>
    <x v="59"/>
    <n v="1"/>
    <x v="3"/>
    <x v="0"/>
    <n v="3"/>
    <x v="1"/>
    <x v="0"/>
    <x v="3"/>
  </r>
  <r>
    <s v="EMP0061"/>
    <x v="1"/>
    <s v="Marketing Specialist"/>
    <x v="1"/>
    <x v="30"/>
    <n v="6632"/>
    <x v="60"/>
    <n v="9"/>
    <x v="3"/>
    <x v="3"/>
    <n v="2"/>
    <x v="1"/>
    <x v="0"/>
    <x v="3"/>
  </r>
  <r>
    <s v="EMP0062"/>
    <x v="5"/>
    <s v="Software Engineer"/>
    <x v="0"/>
    <x v="31"/>
    <n v="7222"/>
    <x v="61"/>
    <n v="6"/>
    <x v="2"/>
    <x v="3"/>
    <n v="2"/>
    <x v="0"/>
    <x v="2"/>
    <x v="5"/>
  </r>
  <r>
    <s v="EMP0063"/>
    <x v="4"/>
    <s v="Operations Manager"/>
    <x v="0"/>
    <x v="25"/>
    <n v="8375"/>
    <x v="62"/>
    <n v="6"/>
    <x v="3"/>
    <x v="3"/>
    <n v="2"/>
    <x v="0"/>
    <x v="0"/>
    <x v="3"/>
  </r>
  <r>
    <s v="EMP0064"/>
    <x v="3"/>
    <s v="HR Manager"/>
    <x v="2"/>
    <x v="24"/>
    <n v="2125"/>
    <x v="63"/>
    <n v="7"/>
    <x v="1"/>
    <x v="2"/>
    <n v="4"/>
    <x v="1"/>
    <x v="0"/>
    <x v="6"/>
  </r>
  <r>
    <s v="EMP0065"/>
    <x v="1"/>
    <s v="Digital Marketing"/>
    <x v="2"/>
    <x v="6"/>
    <n v="6888"/>
    <x v="64"/>
    <n v="0"/>
    <x v="0"/>
    <x v="2"/>
    <n v="4"/>
    <x v="0"/>
    <x v="0"/>
    <x v="6"/>
  </r>
  <r>
    <s v="EMP0066"/>
    <x v="3"/>
    <s v="HR Specialist"/>
    <x v="1"/>
    <x v="9"/>
    <n v="8934"/>
    <x v="65"/>
    <n v="1"/>
    <x v="3"/>
    <x v="3"/>
    <n v="2"/>
    <x v="0"/>
    <x v="0"/>
    <x v="2"/>
  </r>
  <r>
    <s v="EMP0067"/>
    <x v="1"/>
    <s v="Marketing Specialist"/>
    <x v="2"/>
    <x v="32"/>
    <n v="6415"/>
    <x v="66"/>
    <n v="2"/>
    <x v="3"/>
    <x v="0"/>
    <n v="3"/>
    <x v="0"/>
    <x v="1"/>
    <x v="3"/>
  </r>
  <r>
    <s v="EMP0068"/>
    <x v="4"/>
    <s v="Operations Manager"/>
    <x v="0"/>
    <x v="1"/>
    <n v="6565"/>
    <x v="67"/>
    <n v="9"/>
    <x v="3"/>
    <x v="3"/>
    <n v="2"/>
    <x v="1"/>
    <x v="1"/>
    <x v="6"/>
  </r>
  <r>
    <s v="EMP0069"/>
    <x v="2"/>
    <s v="Finance Manager"/>
    <x v="2"/>
    <x v="33"/>
    <n v="4050"/>
    <x v="68"/>
    <n v="7"/>
    <x v="0"/>
    <x v="1"/>
    <n v="1"/>
    <x v="1"/>
    <x v="2"/>
    <x v="6"/>
  </r>
  <r>
    <s v="EMP0070"/>
    <x v="5"/>
    <s v="System Administrator"/>
    <x v="1"/>
    <x v="20"/>
    <n v="3348"/>
    <x v="69"/>
    <n v="3"/>
    <x v="3"/>
    <x v="3"/>
    <n v="2"/>
    <x v="1"/>
    <x v="1"/>
    <x v="6"/>
  </r>
  <r>
    <s v="EMP0071"/>
    <x v="0"/>
    <s v="Sales Manager"/>
    <x v="2"/>
    <x v="16"/>
    <n v="5809"/>
    <x v="70"/>
    <n v="4"/>
    <x v="0"/>
    <x v="0"/>
    <n v="3"/>
    <x v="0"/>
    <x v="2"/>
    <x v="6"/>
  </r>
  <r>
    <s v="EMP0072"/>
    <x v="2"/>
    <s v="Finance Manager"/>
    <x v="1"/>
    <x v="10"/>
    <n v="4050"/>
    <x v="71"/>
    <n v="1"/>
    <x v="3"/>
    <x v="2"/>
    <n v="4"/>
    <x v="0"/>
    <x v="2"/>
    <x v="3"/>
  </r>
  <r>
    <s v="EMP0073"/>
    <x v="0"/>
    <s v="Account Manager"/>
    <x v="0"/>
    <x v="22"/>
    <n v="3480"/>
    <x v="72"/>
    <n v="8"/>
    <x v="1"/>
    <x v="0"/>
    <n v="3"/>
    <x v="1"/>
    <x v="0"/>
    <x v="6"/>
  </r>
  <r>
    <s v="EMP0074"/>
    <x v="1"/>
    <s v="Marketing Specialist"/>
    <x v="1"/>
    <x v="19"/>
    <n v="6108"/>
    <x v="73"/>
    <n v="10"/>
    <x v="2"/>
    <x v="3"/>
    <n v="2"/>
    <x v="0"/>
    <x v="0"/>
    <x v="3"/>
  </r>
  <r>
    <s v="EMP0075"/>
    <x v="1"/>
    <s v="Marketing Specialist"/>
    <x v="2"/>
    <x v="14"/>
    <n v="5712"/>
    <x v="74"/>
    <n v="5"/>
    <x v="1"/>
    <x v="3"/>
    <n v="2"/>
    <x v="1"/>
    <x v="0"/>
    <x v="1"/>
  </r>
  <r>
    <s v="EMP0076"/>
    <x v="3"/>
    <s v="HR Specialist"/>
    <x v="1"/>
    <x v="30"/>
    <n v="2434"/>
    <x v="75"/>
    <n v="11"/>
    <x v="0"/>
    <x v="1"/>
    <n v="1"/>
    <x v="1"/>
    <x v="2"/>
    <x v="1"/>
  </r>
  <r>
    <s v="EMP0077"/>
    <x v="2"/>
    <s v="Accountant"/>
    <x v="1"/>
    <x v="6"/>
    <n v="2058"/>
    <x v="76"/>
    <n v="5"/>
    <x v="2"/>
    <x v="0"/>
    <n v="3"/>
    <x v="0"/>
    <x v="2"/>
    <x v="2"/>
  </r>
  <r>
    <s v="EMP0078"/>
    <x v="3"/>
    <s v="Recruiter"/>
    <x v="1"/>
    <x v="31"/>
    <n v="3464"/>
    <x v="77"/>
    <n v="0"/>
    <x v="2"/>
    <x v="0"/>
    <n v="3"/>
    <x v="0"/>
    <x v="0"/>
    <x v="4"/>
  </r>
  <r>
    <s v="EMP0079"/>
    <x v="2"/>
    <s v="Accountant"/>
    <x v="2"/>
    <x v="3"/>
    <n v="1874"/>
    <x v="78"/>
    <n v="4"/>
    <x v="3"/>
    <x v="0"/>
    <n v="3"/>
    <x v="1"/>
    <x v="2"/>
    <x v="0"/>
  </r>
  <r>
    <s v="EMP0080"/>
    <x v="0"/>
    <s v="Sales Representative"/>
    <x v="1"/>
    <x v="14"/>
    <n v="4320"/>
    <x v="79"/>
    <n v="4"/>
    <x v="2"/>
    <x v="2"/>
    <n v="4"/>
    <x v="0"/>
    <x v="1"/>
    <x v="1"/>
  </r>
  <r>
    <s v="EMP0081"/>
    <x v="4"/>
    <s v="Operations Manager"/>
    <x v="0"/>
    <x v="3"/>
    <n v="4505"/>
    <x v="80"/>
    <n v="8"/>
    <x v="1"/>
    <x v="2"/>
    <n v="4"/>
    <x v="0"/>
    <x v="2"/>
    <x v="2"/>
  </r>
  <r>
    <s v="EMP0082"/>
    <x v="3"/>
    <s v="HR Specialist"/>
    <x v="0"/>
    <x v="25"/>
    <n v="8136"/>
    <x v="81"/>
    <n v="3"/>
    <x v="2"/>
    <x v="1"/>
    <n v="1"/>
    <x v="0"/>
    <x v="2"/>
    <x v="6"/>
  </r>
  <r>
    <s v="EMP0083"/>
    <x v="3"/>
    <s v="HR Manager"/>
    <x v="1"/>
    <x v="34"/>
    <n v="8523"/>
    <x v="82"/>
    <n v="2"/>
    <x v="1"/>
    <x v="2"/>
    <n v="4"/>
    <x v="0"/>
    <x v="2"/>
    <x v="3"/>
  </r>
  <r>
    <s v="EMP0084"/>
    <x v="1"/>
    <s v="Marketing Specialist"/>
    <x v="2"/>
    <x v="29"/>
    <n v="3077"/>
    <x v="83"/>
    <n v="3"/>
    <x v="3"/>
    <x v="2"/>
    <n v="4"/>
    <x v="0"/>
    <x v="1"/>
    <x v="4"/>
  </r>
  <r>
    <s v="EMP0085"/>
    <x v="4"/>
    <s v="Operations Coordinator"/>
    <x v="1"/>
    <x v="31"/>
    <n v="2067"/>
    <x v="84"/>
    <n v="3"/>
    <x v="2"/>
    <x v="0"/>
    <n v="3"/>
    <x v="0"/>
    <x v="2"/>
    <x v="3"/>
  </r>
  <r>
    <s v="EMP0086"/>
    <x v="1"/>
    <s v="Content Manager"/>
    <x v="0"/>
    <x v="23"/>
    <n v="7986"/>
    <x v="85"/>
    <n v="6"/>
    <x v="1"/>
    <x v="0"/>
    <n v="3"/>
    <x v="1"/>
    <x v="1"/>
    <x v="3"/>
  </r>
  <r>
    <s v="EMP0087"/>
    <x v="3"/>
    <s v="HR Specialist"/>
    <x v="2"/>
    <x v="19"/>
    <n v="3065"/>
    <x v="86"/>
    <n v="7"/>
    <x v="2"/>
    <x v="2"/>
    <n v="4"/>
    <x v="0"/>
    <x v="1"/>
    <x v="1"/>
  </r>
  <r>
    <s v="EMP0088"/>
    <x v="5"/>
    <s v="Software Engineer"/>
    <x v="1"/>
    <x v="13"/>
    <n v="1874"/>
    <x v="87"/>
    <n v="8"/>
    <x v="3"/>
    <x v="2"/>
    <n v="4"/>
    <x v="1"/>
    <x v="0"/>
    <x v="4"/>
  </r>
  <r>
    <s v="EMP0089"/>
    <x v="3"/>
    <s v="Recruiter"/>
    <x v="1"/>
    <x v="2"/>
    <n v="8483"/>
    <x v="88"/>
    <n v="6"/>
    <x v="3"/>
    <x v="3"/>
    <n v="2"/>
    <x v="1"/>
    <x v="2"/>
    <x v="4"/>
  </r>
  <r>
    <s v="EMP0090"/>
    <x v="3"/>
    <s v="HR Specialist"/>
    <x v="1"/>
    <x v="20"/>
    <n v="4851"/>
    <x v="89"/>
    <n v="1"/>
    <x v="3"/>
    <x v="3"/>
    <n v="2"/>
    <x v="1"/>
    <x v="2"/>
    <x v="1"/>
  </r>
  <r>
    <s v="EMP0091"/>
    <x v="5"/>
    <s v="System Administrator"/>
    <x v="0"/>
    <x v="7"/>
    <n v="7746"/>
    <x v="90"/>
    <n v="5"/>
    <x v="1"/>
    <x v="0"/>
    <n v="3"/>
    <x v="0"/>
    <x v="2"/>
    <x v="2"/>
  </r>
  <r>
    <s v="EMP0092"/>
    <x v="0"/>
    <s v="Account Manager"/>
    <x v="1"/>
    <x v="28"/>
    <n v="7432"/>
    <x v="91"/>
    <n v="1"/>
    <x v="1"/>
    <x v="3"/>
    <n v="2"/>
    <x v="0"/>
    <x v="0"/>
    <x v="6"/>
  </r>
  <r>
    <s v="EMP0093"/>
    <x v="3"/>
    <s v="HR Specialist"/>
    <x v="1"/>
    <x v="25"/>
    <n v="4347"/>
    <x v="92"/>
    <n v="0"/>
    <x v="3"/>
    <x v="2"/>
    <n v="4"/>
    <x v="1"/>
    <x v="1"/>
    <x v="4"/>
  </r>
  <r>
    <s v="EMP0094"/>
    <x v="5"/>
    <s v="System Administrator"/>
    <x v="0"/>
    <x v="30"/>
    <n v="2705"/>
    <x v="93"/>
    <n v="10"/>
    <x v="2"/>
    <x v="3"/>
    <n v="2"/>
    <x v="1"/>
    <x v="2"/>
    <x v="3"/>
  </r>
  <r>
    <s v="EMP0095"/>
    <x v="3"/>
    <s v="Recruiter"/>
    <x v="0"/>
    <x v="10"/>
    <n v="5446"/>
    <x v="94"/>
    <n v="3"/>
    <x v="1"/>
    <x v="0"/>
    <n v="3"/>
    <x v="0"/>
    <x v="0"/>
    <x v="6"/>
  </r>
  <r>
    <s v="EMP0096"/>
    <x v="1"/>
    <s v="Digital Marketing"/>
    <x v="0"/>
    <x v="23"/>
    <n v="8629"/>
    <x v="95"/>
    <n v="9"/>
    <x v="1"/>
    <x v="1"/>
    <n v="1"/>
    <x v="0"/>
    <x v="0"/>
    <x v="6"/>
  </r>
  <r>
    <s v="EMP0097"/>
    <x v="3"/>
    <s v="Recruiter"/>
    <x v="1"/>
    <x v="11"/>
    <n v="4359"/>
    <x v="96"/>
    <n v="4"/>
    <x v="0"/>
    <x v="2"/>
    <n v="4"/>
    <x v="0"/>
    <x v="2"/>
    <x v="2"/>
  </r>
  <r>
    <s v="EMP0098"/>
    <x v="1"/>
    <s v="Marketing Specialist"/>
    <x v="1"/>
    <x v="35"/>
    <n v="5405"/>
    <x v="97"/>
    <n v="7"/>
    <x v="0"/>
    <x v="3"/>
    <n v="2"/>
    <x v="0"/>
    <x v="0"/>
    <x v="2"/>
  </r>
  <r>
    <s v="EMP0099"/>
    <x v="0"/>
    <s v="Account Manager"/>
    <x v="1"/>
    <x v="28"/>
    <n v="5540"/>
    <x v="98"/>
    <n v="10"/>
    <x v="0"/>
    <x v="1"/>
    <n v="1"/>
    <x v="1"/>
    <x v="2"/>
    <x v="2"/>
  </r>
  <r>
    <s v="EMP0100"/>
    <x v="4"/>
    <s v="Operations Manager"/>
    <x v="0"/>
    <x v="5"/>
    <n v="3752"/>
    <x v="99"/>
    <n v="0"/>
    <x v="2"/>
    <x v="3"/>
    <n v="2"/>
    <x v="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8C25D8-057F-4711-BFE7-29688C2312E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23:P31" firstHeaderRow="1" firstDataRow="1" firstDataCol="1"/>
  <pivotFields count="17">
    <pivotField dataField="1" showAll="0"/>
    <pivotField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showAll="0">
      <items count="4">
        <item x="0"/>
        <item x="1"/>
        <item x="2"/>
        <item t="default"/>
      </items>
    </pivotField>
    <pivotField axis="axisRow"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3"/>
  </rowFields>
  <rowItems count="8">
    <i>
      <x/>
    </i>
    <i>
      <x v="1"/>
    </i>
    <i>
      <x v="2"/>
    </i>
    <i>
      <x v="3"/>
    </i>
    <i>
      <x v="4"/>
    </i>
    <i>
      <x v="5"/>
    </i>
    <i>
      <x v="6"/>
    </i>
    <i t="grand">
      <x/>
    </i>
  </rowItems>
  <colItems count="1">
    <i/>
  </colItems>
  <dataFields count="1">
    <dataField name="Count of Employee ID" fld="0"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378543-7CEC-4517-B8CC-95EA80179C27}"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3:N36" firstHeaderRow="1" firstDataRow="1" firstDataCol="1"/>
  <pivotFields count="17">
    <pivotField dataField="1" showAll="0"/>
    <pivotField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axis="axisRow" showAll="0">
      <items count="3">
        <item x="0"/>
        <item x="1"/>
        <item t="default"/>
      </items>
    </pivotField>
    <pivotField showAll="0">
      <items count="4">
        <item x="0"/>
        <item x="1"/>
        <item x="2"/>
        <item t="default"/>
      </items>
    </pivotField>
    <pivotField showAll="0">
      <items count="8">
        <item x="2"/>
        <item x="0"/>
        <item x="6"/>
        <item x="4"/>
        <item x="5"/>
        <item x="1"/>
        <item x="3"/>
        <item t="default"/>
      </items>
    </pivotField>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3">
    <i>
      <x/>
    </i>
    <i>
      <x v="1"/>
    </i>
    <i t="grand">
      <x/>
    </i>
  </rowItems>
  <colItems count="1">
    <i/>
  </colItems>
  <dataFields count="1">
    <dataField name="Count of Employee ID" fld="0"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0"/>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6EA373-9711-483E-821C-9907713B9C5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10" firstHeaderRow="1" firstDataRow="1" firstDataCol="1"/>
  <pivotFields count="17">
    <pivotField showAll="0"/>
    <pivotField axis="axisRow"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showAll="0">
      <items count="4">
        <item x="0"/>
        <item x="1"/>
        <item x="2"/>
        <item t="default"/>
      </items>
    </pivotField>
    <pivotField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E8B926-B9C3-4248-B82E-031F854706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showAll="0">
      <items count="4">
        <item x="0"/>
        <item x="1"/>
        <item x="2"/>
        <item t="default"/>
      </items>
    </pivotField>
    <pivotField showAll="0">
      <items count="8">
        <item x="2"/>
        <item x="0"/>
        <item x="6"/>
        <item x="4"/>
        <item x="5"/>
        <item x="1"/>
        <item x="3"/>
        <item t="default"/>
      </items>
    </pivotField>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564516-BEC8-420A-ABF2-140FBB9BE6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showAll="0"/>
    <pivotField showAll="0">
      <items count="7">
        <item x="2"/>
        <item x="3"/>
        <item x="5"/>
        <item x="1"/>
        <item x="4"/>
        <item x="0"/>
        <item t="default"/>
      </items>
    </pivotField>
    <pivotField showAll="0"/>
    <pivotField showAll="0">
      <items count="4">
        <item x="1"/>
        <item x="2"/>
        <item x="0"/>
        <item t="default"/>
      </items>
    </pivotField>
    <pivotField showAll="0"/>
    <pivotField dataField="1"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showAll="0">
      <items count="4">
        <item x="0"/>
        <item x="1"/>
        <item x="2"/>
        <item t="default"/>
      </items>
    </pivotField>
    <pivotField showAll="0">
      <items count="8">
        <item x="2"/>
        <item x="0"/>
        <item x="6"/>
        <item x="4"/>
        <item x="5"/>
        <item x="1"/>
        <item x="3"/>
        <item t="default"/>
      </items>
    </pivotField>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ary" fld="5" subtotal="average" baseField="0" baseItem="0" numFmtId="1"/>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64EF84-758D-4C7B-9BFB-7FCA2E9039A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5:F22" firstHeaderRow="1" firstDataRow="1" firstDataCol="1"/>
  <pivotFields count="17">
    <pivotField dataField="1" showAll="0"/>
    <pivotField axis="axisRow"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showAll="0">
      <items count="4">
        <item x="0"/>
        <item x="1"/>
        <item x="2"/>
        <item t="default"/>
      </items>
    </pivotField>
    <pivotField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Count of Employee ID" fld="0" subtotal="count" baseField="0"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7EB47D-672E-418C-8375-65E3339104A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4:L28" firstHeaderRow="1" firstDataRow="1" firstDataCol="1"/>
  <pivotFields count="17">
    <pivotField dataField="1" showAll="0"/>
    <pivotField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axis="axisRow" showAll="0">
      <items count="4">
        <item x="0"/>
        <item x="1"/>
        <item x="2"/>
        <item t="default"/>
      </items>
    </pivotField>
    <pivotField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Count of Employee ID"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394588-8B8E-4DCD-8837-766F2E4495D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5:L22" firstHeaderRow="1" firstDataRow="1" firstDataCol="1"/>
  <pivotFields count="17">
    <pivotField showAll="0"/>
    <pivotField axis="axisRow" showAll="0">
      <items count="7">
        <item x="2"/>
        <item x="3"/>
        <item x="5"/>
        <item x="1"/>
        <item x="4"/>
        <item x="0"/>
        <item t="default"/>
      </items>
    </pivotField>
    <pivotField showAll="0"/>
    <pivotField showAll="0">
      <items count="4">
        <item x="1"/>
        <item x="2"/>
        <item x="0"/>
        <item t="default"/>
      </items>
    </pivotField>
    <pivotField showAll="0"/>
    <pivotField dataField="1"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showAll="0">
      <items count="4">
        <item x="0"/>
        <item x="1"/>
        <item x="2"/>
        <item t="default"/>
      </items>
    </pivotField>
    <pivotField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Average of Salary" fld="5" subtotal="average" baseField="1"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B2AA55-DA4A-4AD8-A2BC-AD47F553750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3:K42" firstHeaderRow="1" firstDataRow="1" firstDataCol="1"/>
  <pivotFields count="17">
    <pivotField dataField="1" showAll="0"/>
    <pivotField showAll="0">
      <items count="7">
        <item x="2"/>
        <item x="3"/>
        <item x="5"/>
        <item x="1"/>
        <item x="4"/>
        <item x="0"/>
        <item t="default"/>
      </items>
    </pivotField>
    <pivotField showAll="0"/>
    <pivotField showAll="0">
      <items count="4">
        <item x="1"/>
        <item x="2"/>
        <item x="0"/>
        <item t="default"/>
      </items>
    </pivotField>
    <pivotField axis="axisRow" showAll="0">
      <items count="11">
        <item x="0"/>
        <item x="1"/>
        <item x="2"/>
        <item x="3"/>
        <item x="4"/>
        <item x="5"/>
        <item x="6"/>
        <item x="7"/>
        <item x="8"/>
        <item x="9"/>
        <item t="default"/>
      </items>
    </pivotField>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showAll="0">
      <items count="4">
        <item x="0"/>
        <item x="1"/>
        <item x="2"/>
        <item t="default"/>
      </items>
    </pivotField>
    <pivotField showAll="0">
      <items count="8">
        <item x="2"/>
        <item x="0"/>
        <item x="6"/>
        <item x="4"/>
        <item x="5"/>
        <item x="1"/>
        <item x="3"/>
        <item t="default"/>
      </items>
    </pivotField>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9">
    <i>
      <x v="1"/>
    </i>
    <i>
      <x v="2"/>
    </i>
    <i>
      <x v="3"/>
    </i>
    <i>
      <x v="4"/>
    </i>
    <i>
      <x v="5"/>
    </i>
    <i>
      <x v="6"/>
    </i>
    <i>
      <x v="7"/>
    </i>
    <i>
      <x v="8"/>
    </i>
    <i t="grand">
      <x/>
    </i>
  </rowItems>
  <colItems count="1">
    <i/>
  </colItems>
  <dataFields count="1">
    <dataField name="Count of Employee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40F209-75BA-4447-8313-91EFFCF0AE9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7" firstHeaderRow="1" firstDataRow="1" firstDataCol="1"/>
  <pivotFields count="17">
    <pivotField showAll="0"/>
    <pivotField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dataField="1" showAll="0"/>
    <pivotField showAll="0"/>
    <pivotField showAll="0"/>
    <pivotField showAll="0"/>
    <pivotField showAll="0"/>
    <pivotField axis="axisRow" showAll="0">
      <items count="4">
        <item x="0"/>
        <item x="1"/>
        <item x="2"/>
        <item t="default"/>
      </items>
    </pivotField>
    <pivotField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Average of Years at Company" fld="7" subtotal="average" baseField="12" baseItem="0"/>
  </dataFields>
  <formats count="1">
    <format dxfId="2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A8BB77-CA6D-40E8-B18B-20AAB3122F4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7">
    <pivotField showAll="0"/>
    <pivotField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dataField="1" showAll="0"/>
    <pivotField showAll="0"/>
    <pivotField showAll="0">
      <items count="4">
        <item x="0"/>
        <item x="1"/>
        <item x="2"/>
        <item t="default"/>
      </items>
    </pivotField>
    <pivotField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erformance Rating Num" fld="10" subtotal="average" baseField="0" baseItem="0" numFmtId="16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B0383A-05A0-43B2-93EF-55686FD7F174}"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J7" firstHeaderRow="1" firstDataRow="1" firstDataCol="1"/>
  <pivotFields count="17">
    <pivotField dataField="1" showAll="0"/>
    <pivotField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axis="axisRow" showAll="0">
      <items count="4">
        <item x="0"/>
        <item x="1"/>
        <item x="2"/>
        <item t="default"/>
      </items>
    </pivotField>
    <pivotField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9A03CC-658C-4FC8-9BE3-8CBD83E9FF7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I19" firstHeaderRow="1" firstDataRow="1" firstDataCol="1"/>
  <pivotFields count="17">
    <pivotField dataField="1" showAll="0"/>
    <pivotField showAll="0">
      <items count="7">
        <item x="2"/>
        <item x="3"/>
        <item x="5"/>
        <item x="1"/>
        <item x="4"/>
        <item x="0"/>
        <item t="default"/>
      </items>
    </pivotField>
    <pivotField showAll="0"/>
    <pivotField axis="axisRow"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showAll="0">
      <items count="4">
        <item x="0"/>
        <item x="1"/>
        <item x="2"/>
        <item t="default"/>
      </items>
    </pivotField>
    <pivotField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D5CC6B-F4E0-4618-9F2A-F9D6FB4F916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15:O20" firstHeaderRow="1" firstDataRow="1" firstDataCol="1"/>
  <pivotFields count="17">
    <pivotField dataField="1" showAll="0"/>
    <pivotField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axis="axisRow" showAll="0">
      <items count="5">
        <item x="0"/>
        <item x="1"/>
        <item x="2"/>
        <item x="3"/>
        <item t="default"/>
      </items>
    </pivotField>
    <pivotField showAll="0"/>
    <pivotField showAll="0"/>
    <pivotField showAll="0"/>
    <pivotField showAll="0">
      <items count="4">
        <item x="0"/>
        <item x="1"/>
        <item x="2"/>
        <item t="default"/>
      </items>
    </pivotField>
    <pivotField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Count of Employee ID" fld="0" subtotal="count" baseField="0" baseItem="0"/>
  </dataFields>
  <chartFormats count="5">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8" count="1" selected="0">
            <x v="0"/>
          </reference>
        </references>
      </pivotArea>
    </chartFormat>
    <chartFormat chart="9" format="18">
      <pivotArea type="data" outline="0" fieldPosition="0">
        <references count="2">
          <reference field="4294967294" count="1" selected="0">
            <x v="0"/>
          </reference>
          <reference field="8" count="1" selected="0">
            <x v="1"/>
          </reference>
        </references>
      </pivotArea>
    </chartFormat>
    <chartFormat chart="9" format="19">
      <pivotArea type="data" outline="0" fieldPosition="0">
        <references count="2">
          <reference field="4294967294" count="1" selected="0">
            <x v="0"/>
          </reference>
          <reference field="8" count="1" selected="0">
            <x v="2"/>
          </reference>
        </references>
      </pivotArea>
    </chartFormat>
    <chartFormat chart="9" format="2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7E2091-CF5F-4D7E-BD39-025C2AD27D6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3:I28" firstHeaderRow="1" firstDataRow="1" firstDataCol="1"/>
  <pivotFields count="17">
    <pivotField dataField="1" showAll="0"/>
    <pivotField showAll="0">
      <items count="7">
        <item x="2"/>
        <item x="3"/>
        <item x="5"/>
        <item x="1"/>
        <item x="4"/>
        <item x="0"/>
        <item t="default"/>
      </items>
    </pivotField>
    <pivotField showAll="0"/>
    <pivotField showAll="0">
      <items count="4">
        <item x="1"/>
        <item x="2"/>
        <item x="0"/>
        <item t="default"/>
      </items>
    </pivotField>
    <pivotField showAll="0"/>
    <pivotField showAll="0"/>
    <pivotField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axis="axisRow" showAll="0">
      <items count="5">
        <item x="3"/>
        <item x="2"/>
        <item x="0"/>
        <item x="1"/>
        <item t="default"/>
      </items>
    </pivotField>
    <pivotField showAll="0"/>
    <pivotField showAll="0"/>
    <pivotField showAll="0">
      <items count="4">
        <item x="0"/>
        <item x="1"/>
        <item x="2"/>
        <item t="default"/>
      </items>
    </pivotField>
    <pivotField showAll="0">
      <items count="8">
        <item x="2"/>
        <item x="0"/>
        <item x="6"/>
        <item x="4"/>
        <item x="5"/>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Count of Employee ID" fld="0" subtotal="count" baseField="0" baseItem="0"/>
  </dataField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0"/>
          </reference>
        </references>
      </pivotArea>
    </chartFormat>
    <chartFormat chart="4" format="4">
      <pivotArea type="data" outline="0" fieldPosition="0">
        <references count="2">
          <reference field="4294967294" count="1" selected="0">
            <x v="0"/>
          </reference>
          <reference field="9" count="1" selected="0">
            <x v="2"/>
          </reference>
        </references>
      </pivotArea>
    </chartFormat>
    <chartFormat chart="4" format="5">
      <pivotArea type="data" outline="0" fieldPosition="0">
        <references count="2">
          <reference field="4294967294" count="1" selected="0">
            <x v="0"/>
          </reference>
          <reference field="9" count="1" selected="0">
            <x v="1"/>
          </reference>
        </references>
      </pivotArea>
    </chartFormat>
    <chartFormat chart="4" format="6">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795893-95C0-4A3A-8235-FB6F46FEC70F}"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33:H46" firstHeaderRow="1" firstDataRow="1" firstDataCol="1"/>
  <pivotFields count="17">
    <pivotField dataField="1" showAll="0"/>
    <pivotField showAll="0">
      <items count="7">
        <item x="2"/>
        <item x="3"/>
        <item x="5"/>
        <item x="1"/>
        <item x="4"/>
        <item x="0"/>
        <item t="default"/>
      </items>
    </pivotField>
    <pivotField showAll="0"/>
    <pivotField showAll="0">
      <items count="4">
        <item x="1"/>
        <item x="2"/>
        <item x="0"/>
        <item t="default"/>
      </items>
    </pivotField>
    <pivotField showAll="0"/>
    <pivotField showAll="0"/>
    <pivotField axis="axisRow" numFmtId="14" showAll="0">
      <items count="101">
        <item x="75"/>
        <item x="43"/>
        <item x="2"/>
        <item x="58"/>
        <item x="98"/>
        <item x="24"/>
        <item x="46"/>
        <item x="18"/>
        <item x="57"/>
        <item x="37"/>
        <item x="3"/>
        <item x="16"/>
        <item x="73"/>
        <item x="29"/>
        <item x="27"/>
        <item x="31"/>
        <item x="93"/>
        <item x="11"/>
        <item x="6"/>
        <item x="67"/>
        <item x="38"/>
        <item x="95"/>
        <item x="33"/>
        <item x="13"/>
        <item x="60"/>
        <item x="10"/>
        <item x="80"/>
        <item x="72"/>
        <item x="7"/>
        <item x="17"/>
        <item x="8"/>
        <item x="50"/>
        <item x="45"/>
        <item x="87"/>
        <item x="97"/>
        <item x="63"/>
        <item x="30"/>
        <item x="86"/>
        <item x="68"/>
        <item x="62"/>
        <item x="85"/>
        <item x="88"/>
        <item x="14"/>
        <item x="61"/>
        <item x="52"/>
        <item x="21"/>
        <item x="12"/>
        <item x="4"/>
        <item x="76"/>
        <item x="74"/>
        <item x="25"/>
        <item x="55"/>
        <item x="54"/>
        <item x="48"/>
        <item x="90"/>
        <item x="47"/>
        <item x="78"/>
        <item x="44"/>
        <item x="26"/>
        <item x="40"/>
        <item x="23"/>
        <item x="79"/>
        <item x="39"/>
        <item x="22"/>
        <item x="70"/>
        <item x="96"/>
        <item x="15"/>
        <item x="49"/>
        <item x="32"/>
        <item x="81"/>
        <item x="94"/>
        <item x="35"/>
        <item x="84"/>
        <item x="83"/>
        <item x="34"/>
        <item x="69"/>
        <item x="36"/>
        <item x="20"/>
        <item x="0"/>
        <item x="42"/>
        <item x="41"/>
        <item x="56"/>
        <item x="82"/>
        <item x="9"/>
        <item x="66"/>
        <item x="91"/>
        <item x="51"/>
        <item x="28"/>
        <item x="59"/>
        <item x="65"/>
        <item x="53"/>
        <item x="89"/>
        <item x="71"/>
        <item x="1"/>
        <item x="92"/>
        <item x="99"/>
        <item x="19"/>
        <item x="64"/>
        <item x="77"/>
        <item x="5"/>
        <item t="default"/>
      </items>
    </pivotField>
    <pivotField showAll="0"/>
    <pivotField showAll="0"/>
    <pivotField showAll="0"/>
    <pivotField showAll="0"/>
    <pivotField showAll="0"/>
    <pivotField showAll="0">
      <items count="4">
        <item x="0"/>
        <item x="1"/>
        <item x="2"/>
        <item t="default"/>
      </items>
    </pivotField>
    <pivotField showAll="0">
      <items count="8">
        <item x="2"/>
        <item x="0"/>
        <item x="6"/>
        <item x="4"/>
        <item x="5"/>
        <item x="1"/>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16"/>
    <field x="15"/>
    <field x="14"/>
    <field x="6"/>
  </rowFields>
  <rowItems count="13">
    <i>
      <x v="1"/>
    </i>
    <i>
      <x v="2"/>
    </i>
    <i>
      <x v="3"/>
    </i>
    <i>
      <x v="4"/>
    </i>
    <i>
      <x v="5"/>
    </i>
    <i>
      <x v="6"/>
    </i>
    <i>
      <x v="7"/>
    </i>
    <i>
      <x v="8"/>
    </i>
    <i>
      <x v="9"/>
    </i>
    <i>
      <x v="10"/>
    </i>
    <i>
      <x v="11"/>
    </i>
    <i>
      <x v="12"/>
    </i>
    <i t="grand">
      <x/>
    </i>
  </rowItems>
  <colItems count="1">
    <i/>
  </colItems>
  <dataFields count="1">
    <dataField name="Count of Employee ID" fld="0" subtotal="count"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4FABD73-0641-4E66-B096-1A9A4B208FE0}" sourceName="Department">
  <pivotTables>
    <pivotTable tabId="7" name="PivotTable9"/>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22"/>
    <pivotTable tabId="7" name="PivotTable4"/>
    <pivotTable tabId="7" name="PivotTable6"/>
  </pivotTables>
  <data>
    <tabular pivotCacheId="1181818558">
      <items count="6">
        <i x="2" s="1"/>
        <i x="3" s="1"/>
        <i x="5"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EE0360-00C6-4E8E-BC11-D9EF6627B825}" sourceName="Gender">
  <pivotTables>
    <pivotTable tabId="7" name="PivotTable9"/>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22"/>
    <pivotTable tabId="7" name="PivotTable4"/>
    <pivotTable tabId="7" name="PivotTable6"/>
  </pivotTables>
  <data>
    <tabular pivotCacheId="118181855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2BE8F77-10D1-427C-8730-A6E3F4B7AA34}" sourceName="City">
  <pivotTables>
    <pivotTable tabId="7" name="PivotTable9"/>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22"/>
    <pivotTable tabId="7" name="PivotTable4"/>
    <pivotTable tabId="7" name="PivotTable6"/>
  </pivotTables>
  <data>
    <tabular pivotCacheId="1181818558">
      <items count="7">
        <i x="2" s="1"/>
        <i x="0" s="1"/>
        <i x="6" s="1"/>
        <i x="4" s="1"/>
        <i x="5"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Office" xr10:uid="{D658DE93-8EA6-4967-9301-AF0A686646FF}" sourceName="Remote/Office">
  <pivotTables>
    <pivotTable tabId="7" name="PivotTable9"/>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22"/>
    <pivotTable tabId="7" name="PivotTable4"/>
    <pivotTable tabId="7" name="PivotTable6"/>
  </pivotTables>
  <data>
    <tabular pivotCacheId="118181855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452C42C-D310-4F06-97FF-365E494F8C5C}" cache="Slicer_Department" caption="Department" columnCount="6" style="SlicerStyleLight6" rowHeight="247650"/>
  <slicer name="Gender" xr10:uid="{76E4A3F8-10F8-4182-A990-49A52ABD5943}" cache="Slicer_Gender" caption="Gender" columnCount="3" style="SlicerStyleLight6" rowHeight="246888"/>
  <slicer name="City" xr10:uid="{9E12D84F-A696-4596-8261-6CEAAA3F3586}" cache="Slicer_City" caption="City" columnCount="4" style="SlicerStyleLight6" rowHeight="246888"/>
  <slicer name="Remote/Office" xr10:uid="{703824F3-25E3-46E4-902C-E8FFB6DB8F55}" cache="Slicer_Remote_Office" caption="Remote/Office" columnCount="3"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C34EFF-C295-467D-8B37-0831F79F6061}" name="HR_data" displayName="HR_data" ref="A1:N101" totalsRowShown="0" headerRowDxfId="22" dataDxfId="21" tableBorderDxfId="20">
  <autoFilter ref="A1:N101" xr:uid="{95C34EFF-C295-467D-8B37-0831F79F6061}"/>
  <tableColumns count="14">
    <tableColumn id="1" xr3:uid="{A4C4DBAA-974F-448D-A85F-138ED599D32B}" name="Employee ID" dataDxfId="19"/>
    <tableColumn id="2" xr3:uid="{49F2A2FA-B235-4104-BE6D-170B82E23037}" name="Department" dataDxfId="18"/>
    <tableColumn id="3" xr3:uid="{8C25DF8B-DBD4-4D18-A088-DF908B950D69}" name="Position" dataDxfId="17"/>
    <tableColumn id="4" xr3:uid="{10DF4232-3FEE-4117-8E18-78C0223987C4}" name="Gender" dataDxfId="16"/>
    <tableColumn id="5" xr3:uid="{77CD7C19-B802-4215-92FE-51C7F4E2967A}" name="Age" dataDxfId="15"/>
    <tableColumn id="6" xr3:uid="{E9CDC90C-AA5D-4E7F-92B8-CC50909F5A3E}" name="Salary" dataDxfId="14"/>
    <tableColumn id="7" xr3:uid="{E3FE0175-C023-420A-81BE-D759A67E50CA}" name="Hire Date" dataDxfId="13"/>
    <tableColumn id="8" xr3:uid="{9F286833-37DB-4350-8244-E54C871AD304}" name="Years at Company" dataDxfId="12"/>
    <tableColumn id="9" xr3:uid="{9FCAE67F-A8B9-4286-ADE5-1B8BE9375C87}" name="Education" dataDxfId="11"/>
    <tableColumn id="10" xr3:uid="{5346DCE1-E784-437C-97F2-B76D6AAAB8DC}" name="Performance Rating" dataDxfId="10"/>
    <tableColumn id="11" xr3:uid="{5704AF36-7BE1-4EAE-8718-5D49ED0AFE28}" name="Performance Rating Num" dataDxfId="9">
      <calculatedColumnFormula>IF(J2="Excellent",4,IF(J2="Good",3,IF(J2="Average",2,IF(J2="needs improvement",1,""))))</calculatedColumnFormula>
    </tableColumn>
    <tableColumn id="12" xr3:uid="{5B0D0913-6FC8-4FC8-802B-684C247E5E8B}" name="Overtime" dataDxfId="8"/>
    <tableColumn id="13" xr3:uid="{B77E2072-9A50-4E66-9111-134CA494FE6A}" name="Remote/Office" dataDxfId="7"/>
    <tableColumn id="14" xr3:uid="{3A96FDF5-3778-4643-926F-C3FB317CF6E5}" name="City" dataDxfId="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3.png"/></Relationships>
</file>

<file path=xl/webextensions/webextension1.xml><?xml version="1.0" encoding="utf-8"?>
<we:webextension xmlns:we="http://schemas.microsoft.com/office/webextensions/webextension/2010/11" id="{DE5A32FC-37D4-4FCC-972E-1C7664271A9E}">
  <we:reference id="wa104104476" version="1.6.0.0" store="en-US" storeType="OMEX"/>
  <we:alternateReferences>
    <we:reference id="WA104104476" version="1.6.0.0" store="WA104104476" storeType="OMEX"/>
  </we:alternateReferences>
  <we:properties>
    <we:property name="layout-element-title" value="&quot;Gender Distribution&quot;"/>
    <we:property name="shape" value="&quot;stand-people&quot;"/>
    <we:property name="sku" value="&quot;peoplebar-callout&quot;"/>
    <we:property name="theme" value="&quot;callout-blackgrey&quot;"/>
  </we:properties>
  <we:bindings>
    <we:binding id="dataVizBinding" type="matrix" appref="{9F5545C0-D5F9-48FF-8658-776EE0F6EB61}"/>
  </we:bindings>
  <we:snapshot xmlns:r="http://schemas.openxmlformats.org/officeDocument/2006/relationships" r:embed="rId1"/>
</we:webextension>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5BBC3-D809-4D87-A277-C0B753D6879D}">
  <dimension ref="A1:B14"/>
  <sheetViews>
    <sheetView zoomScale="145" workbookViewId="0">
      <selection activeCell="B17" sqref="B17"/>
    </sheetView>
  </sheetViews>
  <sheetFormatPr defaultRowHeight="14.4" x14ac:dyDescent="0.3"/>
  <cols>
    <col min="1" max="1" width="17" bestFit="1" customWidth="1"/>
    <col min="2" max="2" width="22.5546875" bestFit="1" customWidth="1"/>
  </cols>
  <sheetData>
    <row r="1" spans="1:2" x14ac:dyDescent="0.3">
      <c r="A1" s="12" t="s">
        <v>172</v>
      </c>
      <c r="B1" s="13" t="s">
        <v>173</v>
      </c>
    </row>
    <row r="2" spans="1:2" x14ac:dyDescent="0.3">
      <c r="A2" s="14" t="s">
        <v>13</v>
      </c>
      <c r="B2" s="15" t="s">
        <v>174</v>
      </c>
    </row>
    <row r="3" spans="1:2" x14ac:dyDescent="0.3">
      <c r="A3" s="14" t="s">
        <v>14</v>
      </c>
      <c r="B3" s="15" t="s">
        <v>175</v>
      </c>
    </row>
    <row r="4" spans="1:2" x14ac:dyDescent="0.3">
      <c r="A4" s="14" t="s">
        <v>15</v>
      </c>
      <c r="B4" s="15" t="s">
        <v>176</v>
      </c>
    </row>
    <row r="5" spans="1:2" x14ac:dyDescent="0.3">
      <c r="A5" s="14" t="s">
        <v>8</v>
      </c>
      <c r="B5" s="15" t="s">
        <v>177</v>
      </c>
    </row>
    <row r="6" spans="1:2" x14ac:dyDescent="0.3">
      <c r="A6" s="14" t="s">
        <v>16</v>
      </c>
      <c r="B6" s="15" t="s">
        <v>178</v>
      </c>
    </row>
    <row r="7" spans="1:2" x14ac:dyDescent="0.3">
      <c r="A7" s="14" t="s">
        <v>17</v>
      </c>
      <c r="B7" s="15" t="s">
        <v>179</v>
      </c>
    </row>
    <row r="8" spans="1:2" x14ac:dyDescent="0.3">
      <c r="A8" s="14" t="s">
        <v>18</v>
      </c>
      <c r="B8" s="15" t="s">
        <v>180</v>
      </c>
    </row>
    <row r="9" spans="1:2" x14ac:dyDescent="0.3">
      <c r="A9" s="14" t="s">
        <v>19</v>
      </c>
      <c r="B9" s="15" t="s">
        <v>181</v>
      </c>
    </row>
    <row r="10" spans="1:2" x14ac:dyDescent="0.3">
      <c r="A10" s="14" t="s">
        <v>20</v>
      </c>
      <c r="B10" s="15" t="s">
        <v>182</v>
      </c>
    </row>
    <row r="11" spans="1:2" ht="28.8" x14ac:dyDescent="0.3">
      <c r="A11" s="14" t="s">
        <v>21</v>
      </c>
      <c r="B11" s="15" t="s">
        <v>183</v>
      </c>
    </row>
    <row r="12" spans="1:2" x14ac:dyDescent="0.3">
      <c r="A12" s="14" t="s">
        <v>22</v>
      </c>
      <c r="B12" s="15" t="s">
        <v>184</v>
      </c>
    </row>
    <row r="13" spans="1:2" x14ac:dyDescent="0.3">
      <c r="A13" s="14" t="s">
        <v>23</v>
      </c>
      <c r="B13" s="15" t="s">
        <v>185</v>
      </c>
    </row>
    <row r="14" spans="1:2" ht="15" thickBot="1" x14ac:dyDescent="0.35">
      <c r="A14" s="16" t="s">
        <v>7</v>
      </c>
      <c r="B14" s="17" t="s">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C21D2-1525-4163-8983-18B37441649D}">
  <dimension ref="A2:P46"/>
  <sheetViews>
    <sheetView workbookViewId="0">
      <selection activeCell="M9" sqref="M9"/>
    </sheetView>
  </sheetViews>
  <sheetFormatPr defaultRowHeight="14.4" x14ac:dyDescent="0.3"/>
  <cols>
    <col min="1" max="1" width="18.6640625" bestFit="1" customWidth="1"/>
    <col min="3" max="3" width="15.109375" bestFit="1" customWidth="1"/>
    <col min="5" max="5" width="12.44140625" bestFit="1" customWidth="1"/>
    <col min="6" max="6" width="18.6640625" bestFit="1" customWidth="1"/>
    <col min="7" max="7" width="12.44140625" bestFit="1" customWidth="1"/>
    <col min="8" max="9" width="18.6640625" bestFit="1" customWidth="1"/>
    <col min="10" max="10" width="12.44140625" bestFit="1" customWidth="1"/>
    <col min="11" max="12" width="18.6640625" bestFit="1" customWidth="1"/>
    <col min="13" max="13" width="12.44140625" bestFit="1" customWidth="1"/>
    <col min="14" max="14" width="18.6640625" bestFit="1" customWidth="1"/>
    <col min="15" max="15" width="12.44140625" bestFit="1" customWidth="1"/>
    <col min="16" max="16" width="18.6640625" bestFit="1" customWidth="1"/>
  </cols>
  <sheetData>
    <row r="2" spans="1:15" x14ac:dyDescent="0.3">
      <c r="E2" s="18" t="s">
        <v>167</v>
      </c>
      <c r="F2" s="18"/>
      <c r="G2" s="18"/>
      <c r="H2" s="18"/>
      <c r="I2" s="18"/>
      <c r="J2" s="18"/>
      <c r="K2" s="18"/>
      <c r="L2" s="18"/>
      <c r="M2" s="18"/>
    </row>
    <row r="3" spans="1:15" x14ac:dyDescent="0.3">
      <c r="A3" t="s">
        <v>162</v>
      </c>
      <c r="C3" t="s">
        <v>163</v>
      </c>
      <c r="E3" t="s">
        <v>165</v>
      </c>
      <c r="G3" s="1" t="s">
        <v>9</v>
      </c>
      <c r="I3" s="1" t="s">
        <v>9</v>
      </c>
      <c r="J3" t="s">
        <v>162</v>
      </c>
      <c r="L3" s="1" t="s">
        <v>9</v>
      </c>
      <c r="M3" t="s">
        <v>166</v>
      </c>
    </row>
    <row r="4" spans="1:15" x14ac:dyDescent="0.3">
      <c r="A4" s="22">
        <v>100</v>
      </c>
      <c r="C4" s="10">
        <v>5469.62</v>
      </c>
      <c r="E4" s="9">
        <v>2.5499999999999998</v>
      </c>
      <c r="G4" s="2" t="s">
        <v>38</v>
      </c>
      <c r="I4" s="2" t="s">
        <v>31</v>
      </c>
      <c r="J4" s="22">
        <v>38</v>
      </c>
      <c r="L4" s="2" t="s">
        <v>31</v>
      </c>
      <c r="M4" s="22">
        <v>5.8684210526315788</v>
      </c>
    </row>
    <row r="5" spans="1:15" x14ac:dyDescent="0.3">
      <c r="A5">
        <f>GETPIVOTDATA("Employee ID",$A$3)</f>
        <v>100</v>
      </c>
      <c r="C5" s="11">
        <f>GETPIVOTDATA("Salary",$C$3)</f>
        <v>5469.62</v>
      </c>
      <c r="E5" s="10">
        <f>GETPIVOTDATA("Performance Rating Num",$E$3)</f>
        <v>2.5499999999999998</v>
      </c>
      <c r="G5" s="2" t="s">
        <v>43</v>
      </c>
      <c r="I5" s="2" t="s">
        <v>36</v>
      </c>
      <c r="J5" s="22">
        <v>30</v>
      </c>
      <c r="L5" s="2" t="s">
        <v>36</v>
      </c>
      <c r="M5" s="22">
        <v>4.7666666666666666</v>
      </c>
    </row>
    <row r="6" spans="1:15" x14ac:dyDescent="0.3">
      <c r="G6" s="2" t="s">
        <v>62</v>
      </c>
      <c r="I6" s="2" t="s">
        <v>53</v>
      </c>
      <c r="J6" s="22">
        <v>32</v>
      </c>
      <c r="L6" s="2" t="s">
        <v>53</v>
      </c>
      <c r="M6" s="22">
        <v>5.71875</v>
      </c>
    </row>
    <row r="7" spans="1:15" x14ac:dyDescent="0.3">
      <c r="G7" s="2" t="s">
        <v>33</v>
      </c>
      <c r="I7" s="2" t="s">
        <v>10</v>
      </c>
      <c r="J7" s="22">
        <v>100</v>
      </c>
      <c r="L7" s="2" t="s">
        <v>10</v>
      </c>
      <c r="M7" s="10">
        <v>5.49</v>
      </c>
    </row>
    <row r="8" spans="1:15" x14ac:dyDescent="0.3">
      <c r="G8" s="2" t="s">
        <v>48</v>
      </c>
    </row>
    <row r="9" spans="1:15" x14ac:dyDescent="0.3">
      <c r="G9" s="2" t="s">
        <v>25</v>
      </c>
      <c r="I9">
        <f>GETPIVOTDATA("Employee ID",$I$3,"Remote/Office","Remote")</f>
        <v>32</v>
      </c>
      <c r="M9" s="10">
        <f>GETPIVOTDATA("Years at Company",$L$3)</f>
        <v>5.49</v>
      </c>
    </row>
    <row r="10" spans="1:15" x14ac:dyDescent="0.3">
      <c r="G10" s="2" t="s">
        <v>10</v>
      </c>
    </row>
    <row r="12" spans="1:15" x14ac:dyDescent="0.3">
      <c r="G12">
        <f>COUNTA(G4:G9)</f>
        <v>6</v>
      </c>
    </row>
    <row r="14" spans="1:15" x14ac:dyDescent="0.3">
      <c r="E14" s="19" t="s">
        <v>168</v>
      </c>
      <c r="F14" s="19"/>
      <c r="G14" s="19"/>
      <c r="H14" s="19"/>
      <c r="I14" s="19"/>
      <c r="J14" s="19"/>
      <c r="K14" s="19"/>
      <c r="L14" s="19"/>
      <c r="M14" s="19"/>
    </row>
    <row r="15" spans="1:15" x14ac:dyDescent="0.3">
      <c r="E15" s="1" t="s">
        <v>9</v>
      </c>
      <c r="F15" t="s">
        <v>162</v>
      </c>
      <c r="H15" s="1" t="s">
        <v>9</v>
      </c>
      <c r="I15" t="s">
        <v>162</v>
      </c>
      <c r="K15" s="1" t="s">
        <v>9</v>
      </c>
      <c r="L15" t="s">
        <v>163</v>
      </c>
      <c r="N15" s="1" t="s">
        <v>9</v>
      </c>
      <c r="O15" t="s">
        <v>162</v>
      </c>
    </row>
    <row r="16" spans="1:15" x14ac:dyDescent="0.3">
      <c r="E16" s="2" t="s">
        <v>38</v>
      </c>
      <c r="F16" s="22">
        <v>12</v>
      </c>
      <c r="H16" s="2" t="s">
        <v>11</v>
      </c>
      <c r="I16" s="22">
        <v>39</v>
      </c>
      <c r="K16" s="2" t="s">
        <v>38</v>
      </c>
      <c r="L16" s="22">
        <v>4678.583333333333</v>
      </c>
      <c r="N16" s="2" t="s">
        <v>28</v>
      </c>
      <c r="O16" s="22">
        <v>23</v>
      </c>
    </row>
    <row r="17" spans="5:16" x14ac:dyDescent="0.3">
      <c r="E17" s="2" t="s">
        <v>43</v>
      </c>
      <c r="F17" s="22">
        <v>22</v>
      </c>
      <c r="H17" s="2" t="s">
        <v>12</v>
      </c>
      <c r="I17" s="22">
        <v>27</v>
      </c>
      <c r="K17" s="2" t="s">
        <v>43</v>
      </c>
      <c r="L17" s="22">
        <v>5414</v>
      </c>
      <c r="N17" s="2" t="s">
        <v>35</v>
      </c>
      <c r="O17" s="22">
        <v>25</v>
      </c>
    </row>
    <row r="18" spans="5:16" x14ac:dyDescent="0.3">
      <c r="E18" s="2" t="s">
        <v>62</v>
      </c>
      <c r="F18" s="22">
        <v>14</v>
      </c>
      <c r="H18" s="2" t="s">
        <v>27</v>
      </c>
      <c r="I18" s="22">
        <v>34</v>
      </c>
      <c r="K18" s="2" t="s">
        <v>62</v>
      </c>
      <c r="L18" s="22">
        <v>5163.0714285714284</v>
      </c>
      <c r="N18" s="2" t="s">
        <v>45</v>
      </c>
      <c r="O18" s="22">
        <v>20</v>
      </c>
    </row>
    <row r="19" spans="5:16" x14ac:dyDescent="0.3">
      <c r="E19" s="2" t="s">
        <v>33</v>
      </c>
      <c r="F19" s="22">
        <v>18</v>
      </c>
      <c r="H19" s="2" t="s">
        <v>10</v>
      </c>
      <c r="I19" s="22">
        <v>100</v>
      </c>
      <c r="K19" s="2" t="s">
        <v>33</v>
      </c>
      <c r="L19" s="22">
        <v>6674.4444444444443</v>
      </c>
      <c r="N19" s="2" t="s">
        <v>52</v>
      </c>
      <c r="O19" s="22">
        <v>32</v>
      </c>
    </row>
    <row r="20" spans="5:16" x14ac:dyDescent="0.3">
      <c r="E20" s="2" t="s">
        <v>48</v>
      </c>
      <c r="F20" s="22">
        <v>17</v>
      </c>
      <c r="K20" s="2" t="s">
        <v>48</v>
      </c>
      <c r="L20" s="22">
        <v>5466.0588235294117</v>
      </c>
      <c r="N20" s="2" t="s">
        <v>10</v>
      </c>
      <c r="O20" s="22">
        <v>100</v>
      </c>
    </row>
    <row r="21" spans="5:16" x14ac:dyDescent="0.3">
      <c r="E21" s="2" t="s">
        <v>25</v>
      </c>
      <c r="F21" s="22">
        <v>17</v>
      </c>
      <c r="K21" s="2" t="s">
        <v>25</v>
      </c>
      <c r="L21" s="22">
        <v>5080.2941176470586</v>
      </c>
    </row>
    <row r="22" spans="5:16" x14ac:dyDescent="0.3">
      <c r="E22" s="2" t="s">
        <v>10</v>
      </c>
      <c r="F22" s="22">
        <v>100</v>
      </c>
      <c r="K22" s="2" t="s">
        <v>10</v>
      </c>
      <c r="L22" s="22">
        <v>5469.62</v>
      </c>
    </row>
    <row r="23" spans="5:16" x14ac:dyDescent="0.3">
      <c r="H23" s="1" t="s">
        <v>9</v>
      </c>
      <c r="I23" t="s">
        <v>162</v>
      </c>
      <c r="O23" s="1" t="s">
        <v>9</v>
      </c>
      <c r="P23" t="s">
        <v>162</v>
      </c>
    </row>
    <row r="24" spans="5:16" x14ac:dyDescent="0.3">
      <c r="H24" s="2" t="s">
        <v>56</v>
      </c>
      <c r="I24" s="22">
        <v>28</v>
      </c>
      <c r="K24" s="1" t="s">
        <v>9</v>
      </c>
      <c r="L24" t="s">
        <v>162</v>
      </c>
      <c r="O24" s="2" t="s">
        <v>1</v>
      </c>
      <c r="P24" s="22">
        <v>18</v>
      </c>
    </row>
    <row r="25" spans="5:16" x14ac:dyDescent="0.3">
      <c r="H25" s="2" t="s">
        <v>50</v>
      </c>
      <c r="I25" s="22">
        <v>27</v>
      </c>
      <c r="K25" s="2" t="s">
        <v>31</v>
      </c>
      <c r="L25" s="22">
        <v>38</v>
      </c>
      <c r="O25" s="2" t="s">
        <v>0</v>
      </c>
      <c r="P25" s="22">
        <v>13</v>
      </c>
    </row>
    <row r="26" spans="5:16" x14ac:dyDescent="0.3">
      <c r="H26" s="2" t="s">
        <v>29</v>
      </c>
      <c r="I26" s="22">
        <v>23</v>
      </c>
      <c r="K26" s="2" t="s">
        <v>36</v>
      </c>
      <c r="L26" s="22">
        <v>30</v>
      </c>
      <c r="O26" s="2" t="s">
        <v>2</v>
      </c>
      <c r="P26" s="22">
        <v>15</v>
      </c>
    </row>
    <row r="27" spans="5:16" x14ac:dyDescent="0.3">
      <c r="H27" s="2" t="s">
        <v>40</v>
      </c>
      <c r="I27" s="22">
        <v>22</v>
      </c>
      <c r="K27" s="2" t="s">
        <v>53</v>
      </c>
      <c r="L27" s="22">
        <v>32</v>
      </c>
      <c r="O27" s="2" t="s">
        <v>3</v>
      </c>
      <c r="P27" s="22">
        <v>12</v>
      </c>
    </row>
    <row r="28" spans="5:16" x14ac:dyDescent="0.3">
      <c r="H28" s="2" t="s">
        <v>10</v>
      </c>
      <c r="I28" s="22">
        <v>100</v>
      </c>
      <c r="K28" s="2" t="s">
        <v>10</v>
      </c>
      <c r="L28" s="22">
        <v>100</v>
      </c>
      <c r="O28" s="2" t="s">
        <v>6</v>
      </c>
      <c r="P28" s="22">
        <v>9</v>
      </c>
    </row>
    <row r="29" spans="5:16" x14ac:dyDescent="0.3">
      <c r="O29" s="2" t="s">
        <v>4</v>
      </c>
      <c r="P29" s="22">
        <v>16</v>
      </c>
    </row>
    <row r="30" spans="5:16" x14ac:dyDescent="0.3">
      <c r="O30" s="2" t="s">
        <v>5</v>
      </c>
      <c r="P30" s="22">
        <v>17</v>
      </c>
    </row>
    <row r="31" spans="5:16" x14ac:dyDescent="0.3">
      <c r="O31" s="2" t="s">
        <v>10</v>
      </c>
      <c r="P31" s="22">
        <v>100</v>
      </c>
    </row>
    <row r="33" spans="7:14" x14ac:dyDescent="0.3">
      <c r="G33" s="1" t="s">
        <v>9</v>
      </c>
      <c r="H33" t="s">
        <v>162</v>
      </c>
      <c r="J33" s="1" t="s">
        <v>9</v>
      </c>
      <c r="K33" t="s">
        <v>162</v>
      </c>
      <c r="M33" s="1" t="s">
        <v>9</v>
      </c>
      <c r="N33" t="s">
        <v>162</v>
      </c>
    </row>
    <row r="34" spans="7:14" x14ac:dyDescent="0.3">
      <c r="G34" s="2" t="s">
        <v>204</v>
      </c>
      <c r="H34" s="22">
        <v>9</v>
      </c>
      <c r="J34" s="2" t="s">
        <v>197</v>
      </c>
      <c r="K34" s="22">
        <v>11</v>
      </c>
      <c r="M34" s="2" t="s">
        <v>30</v>
      </c>
      <c r="N34" s="22">
        <v>59</v>
      </c>
    </row>
    <row r="35" spans="7:14" x14ac:dyDescent="0.3">
      <c r="G35" s="2" t="s">
        <v>187</v>
      </c>
      <c r="H35" s="22">
        <v>14</v>
      </c>
      <c r="J35" s="2" t="s">
        <v>198</v>
      </c>
      <c r="K35" s="22">
        <v>13</v>
      </c>
      <c r="M35" s="2" t="s">
        <v>41</v>
      </c>
      <c r="N35" s="22">
        <v>41</v>
      </c>
    </row>
    <row r="36" spans="7:14" x14ac:dyDescent="0.3">
      <c r="G36" s="2" t="s">
        <v>188</v>
      </c>
      <c r="H36" s="22">
        <v>6</v>
      </c>
      <c r="J36" s="2" t="s">
        <v>199</v>
      </c>
      <c r="K36" s="22">
        <v>12</v>
      </c>
      <c r="M36" s="2" t="s">
        <v>10</v>
      </c>
      <c r="N36" s="22">
        <v>100</v>
      </c>
    </row>
    <row r="37" spans="7:14" x14ac:dyDescent="0.3">
      <c r="G37" s="2" t="s">
        <v>189</v>
      </c>
      <c r="H37" s="22">
        <v>7</v>
      </c>
      <c r="J37" s="2" t="s">
        <v>200</v>
      </c>
      <c r="K37" s="22">
        <v>11</v>
      </c>
    </row>
    <row r="38" spans="7:14" x14ac:dyDescent="0.3">
      <c r="G38" s="2" t="s">
        <v>190</v>
      </c>
      <c r="H38" s="22">
        <v>7</v>
      </c>
      <c r="J38" s="2" t="s">
        <v>201</v>
      </c>
      <c r="K38" s="22">
        <v>12</v>
      </c>
    </row>
    <row r="39" spans="7:14" x14ac:dyDescent="0.3">
      <c r="G39" s="2" t="s">
        <v>191</v>
      </c>
      <c r="H39" s="22">
        <v>7</v>
      </c>
      <c r="J39" s="2" t="s">
        <v>170</v>
      </c>
      <c r="K39" s="22">
        <v>13</v>
      </c>
    </row>
    <row r="40" spans="7:14" x14ac:dyDescent="0.3">
      <c r="G40" s="2" t="s">
        <v>169</v>
      </c>
      <c r="H40" s="22">
        <v>14</v>
      </c>
      <c r="J40" s="2" t="s">
        <v>202</v>
      </c>
      <c r="K40" s="22">
        <v>19</v>
      </c>
    </row>
    <row r="41" spans="7:14" x14ac:dyDescent="0.3">
      <c r="G41" s="2" t="s">
        <v>192</v>
      </c>
      <c r="H41" s="22">
        <v>9</v>
      </c>
      <c r="J41" s="2" t="s">
        <v>203</v>
      </c>
      <c r="K41" s="22">
        <v>9</v>
      </c>
    </row>
    <row r="42" spans="7:14" x14ac:dyDescent="0.3">
      <c r="G42" s="2" t="s">
        <v>193</v>
      </c>
      <c r="H42" s="22">
        <v>7</v>
      </c>
      <c r="J42" s="2" t="s">
        <v>10</v>
      </c>
      <c r="K42" s="22">
        <v>100</v>
      </c>
    </row>
    <row r="43" spans="7:14" x14ac:dyDescent="0.3">
      <c r="G43" s="2" t="s">
        <v>194</v>
      </c>
      <c r="H43" s="22">
        <v>8</v>
      </c>
    </row>
    <row r="44" spans="7:14" x14ac:dyDescent="0.3">
      <c r="G44" s="2" t="s">
        <v>195</v>
      </c>
      <c r="H44" s="22">
        <v>10</v>
      </c>
    </row>
    <row r="45" spans="7:14" x14ac:dyDescent="0.3">
      <c r="G45" s="2" t="s">
        <v>196</v>
      </c>
      <c r="H45" s="22">
        <v>2</v>
      </c>
    </row>
    <row r="46" spans="7:14" x14ac:dyDescent="0.3">
      <c r="G46" s="2" t="s">
        <v>10</v>
      </c>
      <c r="H46" s="22">
        <v>100</v>
      </c>
    </row>
  </sheetData>
  <mergeCells count="2">
    <mergeCell ref="E2:M2"/>
    <mergeCell ref="E14:M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B23C6-FB1D-4769-BCE5-406DC48ED93A}">
  <dimension ref="A1:N101"/>
  <sheetViews>
    <sheetView zoomScale="62" workbookViewId="0">
      <selection activeCell="G35" sqref="G35"/>
    </sheetView>
  </sheetViews>
  <sheetFormatPr defaultRowHeight="14.4" x14ac:dyDescent="0.3"/>
  <cols>
    <col min="1" max="1" width="13.21875" customWidth="1"/>
    <col min="2" max="2" width="12.88671875" customWidth="1"/>
    <col min="3" max="3" width="20" bestFit="1" customWidth="1"/>
    <col min="4" max="4" width="11.6640625" bestFit="1" customWidth="1"/>
    <col min="5" max="5" width="5.88671875" customWidth="1"/>
    <col min="6" max="6" width="11.44140625" bestFit="1" customWidth="1"/>
    <col min="7" max="7" width="14.77734375" bestFit="1" customWidth="1"/>
    <col min="8" max="8" width="17.6640625" customWidth="1"/>
    <col min="9" max="9" width="11.21875" customWidth="1"/>
    <col min="10" max="10" width="19.109375" customWidth="1"/>
    <col min="11" max="11" width="23.44140625" customWidth="1"/>
    <col min="12" max="12" width="10.6640625" customWidth="1"/>
    <col min="13" max="13" width="15" customWidth="1"/>
    <col min="14" max="14" width="6.77734375" bestFit="1" customWidth="1"/>
  </cols>
  <sheetData>
    <row r="1" spans="1:14" x14ac:dyDescent="0.3">
      <c r="A1" s="7" t="s">
        <v>13</v>
      </c>
      <c r="B1" s="7" t="s">
        <v>14</v>
      </c>
      <c r="C1" s="7" t="s">
        <v>15</v>
      </c>
      <c r="D1" s="7" t="s">
        <v>8</v>
      </c>
      <c r="E1" s="7" t="s">
        <v>16</v>
      </c>
      <c r="F1" s="7" t="s">
        <v>17</v>
      </c>
      <c r="G1" s="7" t="s">
        <v>18</v>
      </c>
      <c r="H1" s="7" t="s">
        <v>19</v>
      </c>
      <c r="I1" s="7" t="s">
        <v>20</v>
      </c>
      <c r="J1" s="7" t="s">
        <v>21</v>
      </c>
      <c r="K1" s="7" t="s">
        <v>164</v>
      </c>
      <c r="L1" s="7" t="s">
        <v>22</v>
      </c>
      <c r="M1" s="7" t="s">
        <v>23</v>
      </c>
      <c r="N1" s="7" t="s">
        <v>7</v>
      </c>
    </row>
    <row r="2" spans="1:14" x14ac:dyDescent="0.3">
      <c r="A2" s="3" t="s">
        <v>24</v>
      </c>
      <c r="B2" s="3" t="s">
        <v>25</v>
      </c>
      <c r="C2" s="3" t="s">
        <v>26</v>
      </c>
      <c r="D2" s="3" t="s">
        <v>27</v>
      </c>
      <c r="E2" s="3">
        <v>59</v>
      </c>
      <c r="F2" s="3">
        <v>6571</v>
      </c>
      <c r="G2" s="4">
        <v>45111</v>
      </c>
      <c r="H2" s="3">
        <v>2</v>
      </c>
      <c r="I2" s="3" t="s">
        <v>28</v>
      </c>
      <c r="J2" s="3" t="s">
        <v>29</v>
      </c>
      <c r="K2" s="3">
        <f t="shared" ref="K2:K65" si="0">IF(J2="Excellent",4,IF(J2="Good",3,IF(J2="Average",2,IF(J2="needs improvement",1,""))))</f>
        <v>3</v>
      </c>
      <c r="L2" s="3" t="s">
        <v>30</v>
      </c>
      <c r="M2" s="3" t="s">
        <v>31</v>
      </c>
      <c r="N2" s="3" t="s">
        <v>0</v>
      </c>
    </row>
    <row r="3" spans="1:14" x14ac:dyDescent="0.3">
      <c r="A3" s="5" t="s">
        <v>32</v>
      </c>
      <c r="B3" s="5" t="s">
        <v>33</v>
      </c>
      <c r="C3" s="5" t="s">
        <v>34</v>
      </c>
      <c r="D3" s="5" t="s">
        <v>11</v>
      </c>
      <c r="E3" s="5">
        <v>36</v>
      </c>
      <c r="F3" s="5">
        <v>7667</v>
      </c>
      <c r="G3" s="6">
        <v>45844</v>
      </c>
      <c r="H3" s="5">
        <v>0</v>
      </c>
      <c r="I3" s="5" t="s">
        <v>35</v>
      </c>
      <c r="J3" s="5" t="s">
        <v>29</v>
      </c>
      <c r="K3" s="5">
        <f t="shared" si="0"/>
        <v>3</v>
      </c>
      <c r="L3" s="5" t="s">
        <v>30</v>
      </c>
      <c r="M3" s="5" t="s">
        <v>36</v>
      </c>
      <c r="N3" s="5" t="s">
        <v>4</v>
      </c>
    </row>
    <row r="4" spans="1:14" x14ac:dyDescent="0.3">
      <c r="A4" s="3" t="s">
        <v>37</v>
      </c>
      <c r="B4" s="3" t="s">
        <v>38</v>
      </c>
      <c r="C4" s="3" t="s">
        <v>39</v>
      </c>
      <c r="D4" s="3" t="s">
        <v>27</v>
      </c>
      <c r="E4" s="3">
        <v>37</v>
      </c>
      <c r="F4" s="3">
        <v>7675</v>
      </c>
      <c r="G4" s="4">
        <v>42153</v>
      </c>
      <c r="H4" s="3">
        <v>11</v>
      </c>
      <c r="I4" s="3" t="s">
        <v>28</v>
      </c>
      <c r="J4" s="3" t="s">
        <v>40</v>
      </c>
      <c r="K4" s="3">
        <f t="shared" si="0"/>
        <v>1</v>
      </c>
      <c r="L4" s="3" t="s">
        <v>41</v>
      </c>
      <c r="M4" s="3" t="s">
        <v>31</v>
      </c>
      <c r="N4" s="3" t="s">
        <v>0</v>
      </c>
    </row>
    <row r="5" spans="1:14" x14ac:dyDescent="0.3">
      <c r="A5" s="5" t="s">
        <v>42</v>
      </c>
      <c r="B5" s="5" t="s">
        <v>43</v>
      </c>
      <c r="C5" s="5" t="s">
        <v>44</v>
      </c>
      <c r="D5" s="5" t="s">
        <v>12</v>
      </c>
      <c r="E5" s="5">
        <v>28</v>
      </c>
      <c r="F5" s="5">
        <v>7703</v>
      </c>
      <c r="G5" s="6">
        <v>42425</v>
      </c>
      <c r="H5" s="5">
        <v>10</v>
      </c>
      <c r="I5" s="5" t="s">
        <v>45</v>
      </c>
      <c r="J5" s="5" t="s">
        <v>29</v>
      </c>
      <c r="K5" s="5">
        <f t="shared" si="0"/>
        <v>3</v>
      </c>
      <c r="L5" s="5" t="s">
        <v>41</v>
      </c>
      <c r="M5" s="5" t="s">
        <v>31</v>
      </c>
      <c r="N5" s="5" t="s">
        <v>1</v>
      </c>
    </row>
    <row r="6" spans="1:14" x14ac:dyDescent="0.3">
      <c r="A6" s="3" t="s">
        <v>46</v>
      </c>
      <c r="B6" s="3" t="s">
        <v>38</v>
      </c>
      <c r="C6" s="3" t="s">
        <v>39</v>
      </c>
      <c r="D6" s="3" t="s">
        <v>27</v>
      </c>
      <c r="E6" s="3">
        <v>48</v>
      </c>
      <c r="F6" s="3">
        <v>4857</v>
      </c>
      <c r="G6" s="4">
        <v>44029</v>
      </c>
      <c r="H6" s="3">
        <v>5</v>
      </c>
      <c r="I6" s="3" t="s">
        <v>45</v>
      </c>
      <c r="J6" s="3" t="s">
        <v>29</v>
      </c>
      <c r="K6" s="3">
        <f t="shared" si="0"/>
        <v>3</v>
      </c>
      <c r="L6" s="3" t="s">
        <v>41</v>
      </c>
      <c r="M6" s="3" t="s">
        <v>31</v>
      </c>
      <c r="N6" s="3" t="s">
        <v>1</v>
      </c>
    </row>
    <row r="7" spans="1:14" x14ac:dyDescent="0.3">
      <c r="A7" s="5" t="s">
        <v>47</v>
      </c>
      <c r="B7" s="5" t="s">
        <v>48</v>
      </c>
      <c r="C7" s="5" t="s">
        <v>49</v>
      </c>
      <c r="D7" s="5" t="s">
        <v>12</v>
      </c>
      <c r="E7" s="5">
        <v>37</v>
      </c>
      <c r="F7" s="5">
        <v>5402</v>
      </c>
      <c r="G7" s="6">
        <v>46053</v>
      </c>
      <c r="H7" s="5">
        <v>0</v>
      </c>
      <c r="I7" s="5" t="s">
        <v>35</v>
      </c>
      <c r="J7" s="5" t="s">
        <v>50</v>
      </c>
      <c r="K7" s="5">
        <f t="shared" si="0"/>
        <v>4</v>
      </c>
      <c r="L7" s="5" t="s">
        <v>41</v>
      </c>
      <c r="M7" s="5" t="s">
        <v>31</v>
      </c>
      <c r="N7" s="5" t="s">
        <v>5</v>
      </c>
    </row>
    <row r="8" spans="1:14" x14ac:dyDescent="0.3">
      <c r="A8" s="3" t="s">
        <v>51</v>
      </c>
      <c r="B8" s="3" t="s">
        <v>48</v>
      </c>
      <c r="C8" s="3" t="s">
        <v>49</v>
      </c>
      <c r="D8" s="3" t="s">
        <v>11</v>
      </c>
      <c r="E8" s="3">
        <v>57</v>
      </c>
      <c r="F8" s="3">
        <v>4563</v>
      </c>
      <c r="G8" s="4">
        <v>42544</v>
      </c>
      <c r="H8" s="3">
        <v>10</v>
      </c>
      <c r="I8" s="3" t="s">
        <v>52</v>
      </c>
      <c r="J8" s="3" t="s">
        <v>40</v>
      </c>
      <c r="K8" s="3">
        <f t="shared" si="0"/>
        <v>1</v>
      </c>
      <c r="L8" s="3" t="s">
        <v>30</v>
      </c>
      <c r="M8" s="3" t="s">
        <v>53</v>
      </c>
      <c r="N8" s="3" t="s">
        <v>0</v>
      </c>
    </row>
    <row r="9" spans="1:14" x14ac:dyDescent="0.3">
      <c r="A9" s="5" t="s">
        <v>54</v>
      </c>
      <c r="B9" s="5" t="s">
        <v>43</v>
      </c>
      <c r="C9" s="5" t="s">
        <v>55</v>
      </c>
      <c r="D9" s="5" t="s">
        <v>12</v>
      </c>
      <c r="E9" s="5">
        <v>54</v>
      </c>
      <c r="F9" s="5">
        <v>2642</v>
      </c>
      <c r="G9" s="6">
        <v>43066</v>
      </c>
      <c r="H9" s="5">
        <v>8</v>
      </c>
      <c r="I9" s="5" t="s">
        <v>28</v>
      </c>
      <c r="J9" s="5" t="s">
        <v>56</v>
      </c>
      <c r="K9" s="5">
        <f t="shared" si="0"/>
        <v>2</v>
      </c>
      <c r="L9" s="5" t="s">
        <v>30</v>
      </c>
      <c r="M9" s="5" t="s">
        <v>53</v>
      </c>
      <c r="N9" s="5" t="s">
        <v>5</v>
      </c>
    </row>
    <row r="10" spans="1:14" x14ac:dyDescent="0.3">
      <c r="A10" s="3" t="s">
        <v>57</v>
      </c>
      <c r="B10" s="3" t="s">
        <v>48</v>
      </c>
      <c r="C10" s="3" t="s">
        <v>58</v>
      </c>
      <c r="D10" s="3" t="s">
        <v>27</v>
      </c>
      <c r="E10" s="3">
        <v>31</v>
      </c>
      <c r="F10" s="3">
        <v>8120</v>
      </c>
      <c r="G10" s="4">
        <v>43118</v>
      </c>
      <c r="H10" s="3">
        <v>8</v>
      </c>
      <c r="I10" s="3" t="s">
        <v>45</v>
      </c>
      <c r="J10" s="3" t="s">
        <v>50</v>
      </c>
      <c r="K10" s="3">
        <f t="shared" si="0"/>
        <v>4</v>
      </c>
      <c r="L10" s="3" t="s">
        <v>41</v>
      </c>
      <c r="M10" s="3" t="s">
        <v>31</v>
      </c>
      <c r="N10" s="3" t="s">
        <v>5</v>
      </c>
    </row>
    <row r="11" spans="1:14" x14ac:dyDescent="0.3">
      <c r="A11" s="5" t="s">
        <v>59</v>
      </c>
      <c r="B11" s="5" t="s">
        <v>33</v>
      </c>
      <c r="C11" s="5" t="s">
        <v>34</v>
      </c>
      <c r="D11" s="5" t="s">
        <v>11</v>
      </c>
      <c r="E11" s="5">
        <v>43</v>
      </c>
      <c r="F11" s="5">
        <v>5501</v>
      </c>
      <c r="G11" s="6">
        <v>45318</v>
      </c>
      <c r="H11" s="5">
        <v>2</v>
      </c>
      <c r="I11" s="5" t="s">
        <v>28</v>
      </c>
      <c r="J11" s="5" t="s">
        <v>50</v>
      </c>
      <c r="K11" s="5">
        <f t="shared" si="0"/>
        <v>4</v>
      </c>
      <c r="L11" s="5" t="s">
        <v>30</v>
      </c>
      <c r="M11" s="5" t="s">
        <v>53</v>
      </c>
      <c r="N11" s="5" t="s">
        <v>3</v>
      </c>
    </row>
    <row r="12" spans="1:14" x14ac:dyDescent="0.3">
      <c r="A12" s="3" t="s">
        <v>60</v>
      </c>
      <c r="B12" s="3" t="s">
        <v>38</v>
      </c>
      <c r="C12" s="3" t="s">
        <v>39</v>
      </c>
      <c r="D12" s="3" t="s">
        <v>27</v>
      </c>
      <c r="E12" s="3">
        <v>23</v>
      </c>
      <c r="F12" s="3">
        <v>3129</v>
      </c>
      <c r="G12" s="4">
        <v>42953</v>
      </c>
      <c r="H12" s="3">
        <v>8</v>
      </c>
      <c r="I12" s="3" t="s">
        <v>28</v>
      </c>
      <c r="J12" s="3" t="s">
        <v>50</v>
      </c>
      <c r="K12" s="3">
        <f t="shared" si="0"/>
        <v>4</v>
      </c>
      <c r="L12" s="3" t="s">
        <v>30</v>
      </c>
      <c r="M12" s="3" t="s">
        <v>36</v>
      </c>
      <c r="N12" s="3" t="s">
        <v>0</v>
      </c>
    </row>
    <row r="13" spans="1:14" x14ac:dyDescent="0.3">
      <c r="A13" s="5" t="s">
        <v>61</v>
      </c>
      <c r="B13" s="5" t="s">
        <v>62</v>
      </c>
      <c r="C13" s="5" t="s">
        <v>63</v>
      </c>
      <c r="D13" s="5" t="s">
        <v>11</v>
      </c>
      <c r="E13" s="5">
        <v>22</v>
      </c>
      <c r="F13" s="5">
        <v>3910</v>
      </c>
      <c r="G13" s="6">
        <v>42540</v>
      </c>
      <c r="H13" s="5">
        <v>10</v>
      </c>
      <c r="I13" s="5" t="s">
        <v>52</v>
      </c>
      <c r="J13" s="5" t="s">
        <v>50</v>
      </c>
      <c r="K13" s="5">
        <f t="shared" si="0"/>
        <v>4</v>
      </c>
      <c r="L13" s="5" t="s">
        <v>30</v>
      </c>
      <c r="M13" s="5" t="s">
        <v>53</v>
      </c>
      <c r="N13" s="5" t="s">
        <v>5</v>
      </c>
    </row>
    <row r="14" spans="1:14" x14ac:dyDescent="0.3">
      <c r="A14" s="3" t="s">
        <v>64</v>
      </c>
      <c r="B14" s="3" t="s">
        <v>48</v>
      </c>
      <c r="C14" s="3" t="s">
        <v>49</v>
      </c>
      <c r="D14" s="3" t="s">
        <v>27</v>
      </c>
      <c r="E14" s="3">
        <v>50</v>
      </c>
      <c r="F14" s="3">
        <v>7491</v>
      </c>
      <c r="G14" s="4">
        <v>43946</v>
      </c>
      <c r="H14" s="3">
        <v>6</v>
      </c>
      <c r="I14" s="3" t="s">
        <v>52</v>
      </c>
      <c r="J14" s="3" t="s">
        <v>50</v>
      </c>
      <c r="K14" s="3">
        <f t="shared" si="0"/>
        <v>4</v>
      </c>
      <c r="L14" s="3" t="s">
        <v>30</v>
      </c>
      <c r="M14" s="3" t="s">
        <v>53</v>
      </c>
      <c r="N14" s="3" t="s">
        <v>1</v>
      </c>
    </row>
    <row r="15" spans="1:14" x14ac:dyDescent="0.3">
      <c r="A15" s="5" t="s">
        <v>65</v>
      </c>
      <c r="B15" s="5" t="s">
        <v>25</v>
      </c>
      <c r="C15" s="5" t="s">
        <v>26</v>
      </c>
      <c r="D15" s="5" t="s">
        <v>27</v>
      </c>
      <c r="E15" s="5">
        <v>32</v>
      </c>
      <c r="F15" s="5">
        <v>8714</v>
      </c>
      <c r="G15" s="6">
        <v>42824</v>
      </c>
      <c r="H15" s="5">
        <v>9</v>
      </c>
      <c r="I15" s="5" t="s">
        <v>28</v>
      </c>
      <c r="J15" s="5" t="s">
        <v>50</v>
      </c>
      <c r="K15" s="5">
        <f t="shared" si="0"/>
        <v>4</v>
      </c>
      <c r="L15" s="5" t="s">
        <v>30</v>
      </c>
      <c r="M15" s="5" t="s">
        <v>31</v>
      </c>
      <c r="N15" s="5" t="s">
        <v>6</v>
      </c>
    </row>
    <row r="16" spans="1:14" x14ac:dyDescent="0.3">
      <c r="A16" s="3" t="s">
        <v>66</v>
      </c>
      <c r="B16" s="3" t="s">
        <v>48</v>
      </c>
      <c r="C16" s="3" t="s">
        <v>49</v>
      </c>
      <c r="D16" s="3" t="s">
        <v>12</v>
      </c>
      <c r="E16" s="3">
        <v>28</v>
      </c>
      <c r="F16" s="3">
        <v>7684</v>
      </c>
      <c r="G16" s="4">
        <v>43771</v>
      </c>
      <c r="H16" s="3">
        <v>6</v>
      </c>
      <c r="I16" s="3" t="s">
        <v>52</v>
      </c>
      <c r="J16" s="3" t="s">
        <v>56</v>
      </c>
      <c r="K16" s="3">
        <f t="shared" si="0"/>
        <v>2</v>
      </c>
      <c r="L16" s="3" t="s">
        <v>30</v>
      </c>
      <c r="M16" s="3" t="s">
        <v>36</v>
      </c>
      <c r="N16" s="3" t="s">
        <v>6</v>
      </c>
    </row>
    <row r="17" spans="1:14" x14ac:dyDescent="0.3">
      <c r="A17" s="5" t="s">
        <v>67</v>
      </c>
      <c r="B17" s="5" t="s">
        <v>62</v>
      </c>
      <c r="C17" s="5" t="s">
        <v>68</v>
      </c>
      <c r="D17" s="5" t="s">
        <v>11</v>
      </c>
      <c r="E17" s="5">
        <v>50</v>
      </c>
      <c r="F17" s="5">
        <v>3717</v>
      </c>
      <c r="G17" s="6">
        <v>44710</v>
      </c>
      <c r="H17" s="5">
        <v>4</v>
      </c>
      <c r="I17" s="5" t="s">
        <v>52</v>
      </c>
      <c r="J17" s="5" t="s">
        <v>56</v>
      </c>
      <c r="K17" s="5">
        <f t="shared" si="0"/>
        <v>2</v>
      </c>
      <c r="L17" s="5" t="s">
        <v>30</v>
      </c>
      <c r="M17" s="5" t="s">
        <v>53</v>
      </c>
      <c r="N17" s="5" t="s">
        <v>4</v>
      </c>
    </row>
    <row r="18" spans="1:14" x14ac:dyDescent="0.3">
      <c r="A18" s="3" t="s">
        <v>69</v>
      </c>
      <c r="B18" s="3" t="s">
        <v>48</v>
      </c>
      <c r="C18" s="3" t="s">
        <v>49</v>
      </c>
      <c r="D18" s="3" t="s">
        <v>12</v>
      </c>
      <c r="E18" s="3">
        <v>59</v>
      </c>
      <c r="F18" s="3">
        <v>2738</v>
      </c>
      <c r="G18" s="4">
        <v>42426</v>
      </c>
      <c r="H18" s="3">
        <v>10</v>
      </c>
      <c r="I18" s="3" t="s">
        <v>45</v>
      </c>
      <c r="J18" s="3" t="s">
        <v>50</v>
      </c>
      <c r="K18" s="3">
        <f t="shared" si="0"/>
        <v>4</v>
      </c>
      <c r="L18" s="3" t="s">
        <v>30</v>
      </c>
      <c r="M18" s="3" t="s">
        <v>53</v>
      </c>
      <c r="N18" s="3" t="s">
        <v>2</v>
      </c>
    </row>
    <row r="19" spans="1:14" x14ac:dyDescent="0.3">
      <c r="A19" s="5" t="s">
        <v>70</v>
      </c>
      <c r="B19" s="5" t="s">
        <v>43</v>
      </c>
      <c r="C19" s="5" t="s">
        <v>71</v>
      </c>
      <c r="D19" s="5" t="s">
        <v>11</v>
      </c>
      <c r="E19" s="5">
        <v>39</v>
      </c>
      <c r="F19" s="5">
        <v>4773</v>
      </c>
      <c r="G19" s="6">
        <v>43105</v>
      </c>
      <c r="H19" s="5">
        <v>8</v>
      </c>
      <c r="I19" s="5" t="s">
        <v>52</v>
      </c>
      <c r="J19" s="5" t="s">
        <v>40</v>
      </c>
      <c r="K19" s="5">
        <f t="shared" si="0"/>
        <v>1</v>
      </c>
      <c r="L19" s="5" t="s">
        <v>41</v>
      </c>
      <c r="M19" s="5" t="s">
        <v>36</v>
      </c>
      <c r="N19" s="5" t="s">
        <v>1</v>
      </c>
    </row>
    <row r="20" spans="1:14" x14ac:dyDescent="0.3">
      <c r="A20" s="3" t="s">
        <v>72</v>
      </c>
      <c r="B20" s="3" t="s">
        <v>38</v>
      </c>
      <c r="C20" s="3" t="s">
        <v>73</v>
      </c>
      <c r="D20" s="3" t="s">
        <v>11</v>
      </c>
      <c r="E20" s="3">
        <v>59</v>
      </c>
      <c r="F20" s="3">
        <v>7992</v>
      </c>
      <c r="G20" s="4">
        <v>42359</v>
      </c>
      <c r="H20" s="3">
        <v>10</v>
      </c>
      <c r="I20" s="3" t="s">
        <v>35</v>
      </c>
      <c r="J20" s="3" t="s">
        <v>56</v>
      </c>
      <c r="K20" s="3">
        <f t="shared" si="0"/>
        <v>2</v>
      </c>
      <c r="L20" s="3" t="s">
        <v>41</v>
      </c>
      <c r="M20" s="3" t="s">
        <v>31</v>
      </c>
      <c r="N20" s="3" t="s">
        <v>0</v>
      </c>
    </row>
    <row r="21" spans="1:14" x14ac:dyDescent="0.3">
      <c r="A21" s="5" t="s">
        <v>74</v>
      </c>
      <c r="B21" s="5" t="s">
        <v>33</v>
      </c>
      <c r="C21" s="5" t="s">
        <v>34</v>
      </c>
      <c r="D21" s="5" t="s">
        <v>12</v>
      </c>
      <c r="E21" s="5">
        <v>53</v>
      </c>
      <c r="F21" s="5">
        <v>7201</v>
      </c>
      <c r="G21" s="6">
        <v>45937</v>
      </c>
      <c r="H21" s="5">
        <v>0</v>
      </c>
      <c r="I21" s="5" t="s">
        <v>45</v>
      </c>
      <c r="J21" s="5" t="s">
        <v>40</v>
      </c>
      <c r="K21" s="5">
        <f t="shared" si="0"/>
        <v>1</v>
      </c>
      <c r="L21" s="5" t="s">
        <v>41</v>
      </c>
      <c r="M21" s="5" t="s">
        <v>36</v>
      </c>
      <c r="N21" s="5" t="s">
        <v>2</v>
      </c>
    </row>
    <row r="22" spans="1:14" x14ac:dyDescent="0.3">
      <c r="A22" s="3" t="s">
        <v>75</v>
      </c>
      <c r="B22" s="3" t="s">
        <v>43</v>
      </c>
      <c r="C22" s="3" t="s">
        <v>55</v>
      </c>
      <c r="D22" s="3" t="s">
        <v>12</v>
      </c>
      <c r="E22" s="3">
        <v>43</v>
      </c>
      <c r="F22" s="3">
        <v>8963</v>
      </c>
      <c r="G22" s="4">
        <v>45105</v>
      </c>
      <c r="H22" s="3">
        <v>3</v>
      </c>
      <c r="I22" s="3" t="s">
        <v>45</v>
      </c>
      <c r="J22" s="3" t="s">
        <v>56</v>
      </c>
      <c r="K22" s="3">
        <f t="shared" si="0"/>
        <v>2</v>
      </c>
      <c r="L22" s="3" t="s">
        <v>30</v>
      </c>
      <c r="M22" s="3" t="s">
        <v>53</v>
      </c>
      <c r="N22" s="3" t="s">
        <v>4</v>
      </c>
    </row>
    <row r="23" spans="1:14" x14ac:dyDescent="0.3">
      <c r="A23" s="5" t="s">
        <v>76</v>
      </c>
      <c r="B23" s="5" t="s">
        <v>43</v>
      </c>
      <c r="C23" s="5" t="s">
        <v>44</v>
      </c>
      <c r="D23" s="5" t="s">
        <v>27</v>
      </c>
      <c r="E23" s="5">
        <v>36</v>
      </c>
      <c r="F23" s="5">
        <v>7602</v>
      </c>
      <c r="G23" s="6">
        <v>43912</v>
      </c>
      <c r="H23" s="5">
        <v>6</v>
      </c>
      <c r="I23" s="5" t="s">
        <v>52</v>
      </c>
      <c r="J23" s="5" t="s">
        <v>40</v>
      </c>
      <c r="K23" s="5">
        <f t="shared" si="0"/>
        <v>1</v>
      </c>
      <c r="L23" s="5" t="s">
        <v>30</v>
      </c>
      <c r="M23" s="5" t="s">
        <v>31</v>
      </c>
      <c r="N23" s="5" t="s">
        <v>2</v>
      </c>
    </row>
    <row r="24" spans="1:14" x14ac:dyDescent="0.3">
      <c r="A24" s="3" t="s">
        <v>77</v>
      </c>
      <c r="B24" s="3" t="s">
        <v>38</v>
      </c>
      <c r="C24" s="3" t="s">
        <v>39</v>
      </c>
      <c r="D24" s="3" t="s">
        <v>27</v>
      </c>
      <c r="E24" s="3">
        <v>54</v>
      </c>
      <c r="F24" s="3">
        <v>5334</v>
      </c>
      <c r="G24" s="4">
        <v>44553</v>
      </c>
      <c r="H24" s="3">
        <v>4</v>
      </c>
      <c r="I24" s="3" t="s">
        <v>28</v>
      </c>
      <c r="J24" s="3" t="s">
        <v>29</v>
      </c>
      <c r="K24" s="3">
        <f t="shared" si="0"/>
        <v>3</v>
      </c>
      <c r="L24" s="3" t="s">
        <v>41</v>
      </c>
      <c r="M24" s="3" t="s">
        <v>31</v>
      </c>
      <c r="N24" s="3" t="s">
        <v>3</v>
      </c>
    </row>
    <row r="25" spans="1:14" x14ac:dyDescent="0.3">
      <c r="A25" s="5" t="s">
        <v>78</v>
      </c>
      <c r="B25" s="5" t="s">
        <v>48</v>
      </c>
      <c r="C25" s="5" t="s">
        <v>58</v>
      </c>
      <c r="D25" s="5" t="s">
        <v>11</v>
      </c>
      <c r="E25" s="5">
        <v>56</v>
      </c>
      <c r="F25" s="5">
        <v>4696</v>
      </c>
      <c r="G25" s="6">
        <v>44512</v>
      </c>
      <c r="H25" s="5">
        <v>4</v>
      </c>
      <c r="I25" s="5" t="s">
        <v>45</v>
      </c>
      <c r="J25" s="5" t="s">
        <v>50</v>
      </c>
      <c r="K25" s="5">
        <f t="shared" si="0"/>
        <v>4</v>
      </c>
      <c r="L25" s="5" t="s">
        <v>30</v>
      </c>
      <c r="M25" s="5" t="s">
        <v>36</v>
      </c>
      <c r="N25" s="5" t="s">
        <v>4</v>
      </c>
    </row>
    <row r="26" spans="1:14" x14ac:dyDescent="0.3">
      <c r="A26" s="3" t="s">
        <v>79</v>
      </c>
      <c r="B26" s="3" t="s">
        <v>38</v>
      </c>
      <c r="C26" s="3" t="s">
        <v>73</v>
      </c>
      <c r="D26" s="3" t="s">
        <v>27</v>
      </c>
      <c r="E26" s="3">
        <v>51</v>
      </c>
      <c r="F26" s="3">
        <v>3938</v>
      </c>
      <c r="G26" s="4">
        <v>42259</v>
      </c>
      <c r="H26" s="3">
        <v>10</v>
      </c>
      <c r="I26" s="3" t="s">
        <v>52</v>
      </c>
      <c r="J26" s="3" t="s">
        <v>56</v>
      </c>
      <c r="K26" s="3">
        <f t="shared" si="0"/>
        <v>2</v>
      </c>
      <c r="L26" s="3" t="s">
        <v>30</v>
      </c>
      <c r="M26" s="3" t="s">
        <v>31</v>
      </c>
      <c r="N26" s="3" t="s">
        <v>3</v>
      </c>
    </row>
    <row r="27" spans="1:14" x14ac:dyDescent="0.3">
      <c r="A27" s="5" t="s">
        <v>80</v>
      </c>
      <c r="B27" s="5" t="s">
        <v>62</v>
      </c>
      <c r="C27" s="5" t="s">
        <v>63</v>
      </c>
      <c r="D27" s="5" t="s">
        <v>12</v>
      </c>
      <c r="E27" s="5">
        <v>51</v>
      </c>
      <c r="F27" s="5">
        <v>2361</v>
      </c>
      <c r="G27" s="6">
        <v>44236</v>
      </c>
      <c r="H27" s="5">
        <v>5</v>
      </c>
      <c r="I27" s="5" t="s">
        <v>28</v>
      </c>
      <c r="J27" s="5" t="s">
        <v>50</v>
      </c>
      <c r="K27" s="5">
        <f t="shared" si="0"/>
        <v>4</v>
      </c>
      <c r="L27" s="5" t="s">
        <v>41</v>
      </c>
      <c r="M27" s="5" t="s">
        <v>31</v>
      </c>
      <c r="N27" s="5" t="s">
        <v>3</v>
      </c>
    </row>
    <row r="28" spans="1:14" x14ac:dyDescent="0.3">
      <c r="A28" s="3" t="s">
        <v>81</v>
      </c>
      <c r="B28" s="3" t="s">
        <v>25</v>
      </c>
      <c r="C28" s="3" t="s">
        <v>82</v>
      </c>
      <c r="D28" s="3" t="s">
        <v>27</v>
      </c>
      <c r="E28" s="3">
        <v>52</v>
      </c>
      <c r="F28" s="3">
        <v>2603</v>
      </c>
      <c r="G28" s="4">
        <v>44468</v>
      </c>
      <c r="H28" s="3">
        <v>4</v>
      </c>
      <c r="I28" s="3" t="s">
        <v>45</v>
      </c>
      <c r="J28" s="3" t="s">
        <v>56</v>
      </c>
      <c r="K28" s="3">
        <f t="shared" si="0"/>
        <v>2</v>
      </c>
      <c r="L28" s="3" t="s">
        <v>41</v>
      </c>
      <c r="M28" s="3" t="s">
        <v>36</v>
      </c>
      <c r="N28" s="3" t="s">
        <v>5</v>
      </c>
    </row>
    <row r="29" spans="1:14" x14ac:dyDescent="0.3">
      <c r="A29" s="5" t="s">
        <v>83</v>
      </c>
      <c r="B29" s="5" t="s">
        <v>43</v>
      </c>
      <c r="C29" s="5" t="s">
        <v>71</v>
      </c>
      <c r="D29" s="5" t="s">
        <v>11</v>
      </c>
      <c r="E29" s="5">
        <v>32</v>
      </c>
      <c r="F29" s="5">
        <v>5343</v>
      </c>
      <c r="G29" s="6">
        <v>42495</v>
      </c>
      <c r="H29" s="5">
        <v>10</v>
      </c>
      <c r="I29" s="5" t="s">
        <v>52</v>
      </c>
      <c r="J29" s="5" t="s">
        <v>50</v>
      </c>
      <c r="K29" s="5">
        <f t="shared" si="0"/>
        <v>4</v>
      </c>
      <c r="L29" s="5" t="s">
        <v>41</v>
      </c>
      <c r="M29" s="5" t="s">
        <v>36</v>
      </c>
      <c r="N29" s="5" t="s">
        <v>0</v>
      </c>
    </row>
    <row r="30" spans="1:14" x14ac:dyDescent="0.3">
      <c r="A30" s="3" t="s">
        <v>84</v>
      </c>
      <c r="B30" s="3" t="s">
        <v>62</v>
      </c>
      <c r="C30" s="3" t="s">
        <v>63</v>
      </c>
      <c r="D30" s="3" t="s">
        <v>11</v>
      </c>
      <c r="E30" s="3">
        <v>34</v>
      </c>
      <c r="F30" s="3">
        <v>7688</v>
      </c>
      <c r="G30" s="4">
        <v>45569</v>
      </c>
      <c r="H30" s="3">
        <v>1</v>
      </c>
      <c r="I30" s="3" t="s">
        <v>35</v>
      </c>
      <c r="J30" s="3" t="s">
        <v>29</v>
      </c>
      <c r="K30" s="3">
        <f t="shared" si="0"/>
        <v>3</v>
      </c>
      <c r="L30" s="3" t="s">
        <v>30</v>
      </c>
      <c r="M30" s="3" t="s">
        <v>36</v>
      </c>
      <c r="N30" s="3" t="s">
        <v>4</v>
      </c>
    </row>
    <row r="31" spans="1:14" x14ac:dyDescent="0.3">
      <c r="A31" s="5" t="s">
        <v>85</v>
      </c>
      <c r="B31" s="5" t="s">
        <v>43</v>
      </c>
      <c r="C31" s="5" t="s">
        <v>44</v>
      </c>
      <c r="D31" s="5" t="s">
        <v>27</v>
      </c>
      <c r="E31" s="5">
        <v>43</v>
      </c>
      <c r="F31" s="5">
        <v>5464</v>
      </c>
      <c r="G31" s="6">
        <v>42489</v>
      </c>
      <c r="H31" s="5">
        <v>10</v>
      </c>
      <c r="I31" s="5" t="s">
        <v>52</v>
      </c>
      <c r="J31" s="5" t="s">
        <v>56</v>
      </c>
      <c r="K31" s="5">
        <f t="shared" si="0"/>
        <v>2</v>
      </c>
      <c r="L31" s="5" t="s">
        <v>30</v>
      </c>
      <c r="M31" s="5" t="s">
        <v>36</v>
      </c>
      <c r="N31" s="5" t="s">
        <v>3</v>
      </c>
    </row>
    <row r="32" spans="1:14" x14ac:dyDescent="0.3">
      <c r="A32" s="3" t="s">
        <v>86</v>
      </c>
      <c r="B32" s="3" t="s">
        <v>43</v>
      </c>
      <c r="C32" s="3" t="s">
        <v>55</v>
      </c>
      <c r="D32" s="3" t="s">
        <v>27</v>
      </c>
      <c r="E32" s="3">
        <v>34</v>
      </c>
      <c r="F32" s="3">
        <v>2245</v>
      </c>
      <c r="G32" s="4">
        <v>43512</v>
      </c>
      <c r="H32" s="3">
        <v>7</v>
      </c>
      <c r="I32" s="3" t="s">
        <v>28</v>
      </c>
      <c r="J32" s="3" t="s">
        <v>50</v>
      </c>
      <c r="K32" s="3">
        <f t="shared" si="0"/>
        <v>4</v>
      </c>
      <c r="L32" s="3" t="s">
        <v>30</v>
      </c>
      <c r="M32" s="3" t="s">
        <v>31</v>
      </c>
      <c r="N32" s="3" t="s">
        <v>2</v>
      </c>
    </row>
    <row r="33" spans="1:14" x14ac:dyDescent="0.3">
      <c r="A33" s="5" t="s">
        <v>87</v>
      </c>
      <c r="B33" s="5" t="s">
        <v>25</v>
      </c>
      <c r="C33" s="5" t="s">
        <v>82</v>
      </c>
      <c r="D33" s="5" t="s">
        <v>11</v>
      </c>
      <c r="E33" s="5">
        <v>39</v>
      </c>
      <c r="F33" s="5">
        <v>1810</v>
      </c>
      <c r="G33" s="6">
        <v>42503</v>
      </c>
      <c r="H33" s="5">
        <v>10</v>
      </c>
      <c r="I33" s="5" t="s">
        <v>28</v>
      </c>
      <c r="J33" s="5" t="s">
        <v>40</v>
      </c>
      <c r="K33" s="5">
        <f t="shared" si="0"/>
        <v>1</v>
      </c>
      <c r="L33" s="5" t="s">
        <v>41</v>
      </c>
      <c r="M33" s="5" t="s">
        <v>53</v>
      </c>
      <c r="N33" s="5" t="s">
        <v>1</v>
      </c>
    </row>
    <row r="34" spans="1:14" x14ac:dyDescent="0.3">
      <c r="A34" s="3" t="s">
        <v>88</v>
      </c>
      <c r="B34" s="3" t="s">
        <v>33</v>
      </c>
      <c r="C34" s="3" t="s">
        <v>34</v>
      </c>
      <c r="D34" s="3" t="s">
        <v>12</v>
      </c>
      <c r="E34" s="3">
        <v>28</v>
      </c>
      <c r="F34" s="3">
        <v>6130</v>
      </c>
      <c r="G34" s="4">
        <v>44733</v>
      </c>
      <c r="H34" s="3">
        <v>4</v>
      </c>
      <c r="I34" s="3" t="s">
        <v>52</v>
      </c>
      <c r="J34" s="3" t="s">
        <v>40</v>
      </c>
      <c r="K34" s="3">
        <f t="shared" si="0"/>
        <v>1</v>
      </c>
      <c r="L34" s="3" t="s">
        <v>41</v>
      </c>
      <c r="M34" s="3" t="s">
        <v>31</v>
      </c>
      <c r="N34" s="3" t="s">
        <v>6</v>
      </c>
    </row>
    <row r="35" spans="1:14" x14ac:dyDescent="0.3">
      <c r="A35" s="5" t="s">
        <v>89</v>
      </c>
      <c r="B35" s="5" t="s">
        <v>48</v>
      </c>
      <c r="C35" s="5" t="s">
        <v>49</v>
      </c>
      <c r="D35" s="5" t="s">
        <v>12</v>
      </c>
      <c r="E35" s="5">
        <v>32</v>
      </c>
      <c r="F35" s="5">
        <v>7870</v>
      </c>
      <c r="G35" s="6">
        <v>42735</v>
      </c>
      <c r="H35" s="5">
        <v>9</v>
      </c>
      <c r="I35" s="5" t="s">
        <v>35</v>
      </c>
      <c r="J35" s="5" t="s">
        <v>40</v>
      </c>
      <c r="K35" s="5">
        <f t="shared" si="0"/>
        <v>1</v>
      </c>
      <c r="L35" s="5" t="s">
        <v>30</v>
      </c>
      <c r="M35" s="5" t="s">
        <v>36</v>
      </c>
      <c r="N35" s="5" t="s">
        <v>6</v>
      </c>
    </row>
    <row r="36" spans="1:14" x14ac:dyDescent="0.3">
      <c r="A36" s="3" t="s">
        <v>90</v>
      </c>
      <c r="B36" s="3" t="s">
        <v>38</v>
      </c>
      <c r="C36" s="3" t="s">
        <v>73</v>
      </c>
      <c r="D36" s="3" t="s">
        <v>11</v>
      </c>
      <c r="E36" s="3">
        <v>46</v>
      </c>
      <c r="F36" s="3">
        <v>6827</v>
      </c>
      <c r="G36" s="4">
        <v>44983</v>
      </c>
      <c r="H36" s="3">
        <v>3</v>
      </c>
      <c r="I36" s="3" t="s">
        <v>35</v>
      </c>
      <c r="J36" s="3" t="s">
        <v>40</v>
      </c>
      <c r="K36" s="3">
        <f t="shared" si="0"/>
        <v>1</v>
      </c>
      <c r="L36" s="3" t="s">
        <v>30</v>
      </c>
      <c r="M36" s="3" t="s">
        <v>31</v>
      </c>
      <c r="N36" s="3" t="s">
        <v>5</v>
      </c>
    </row>
    <row r="37" spans="1:14" x14ac:dyDescent="0.3">
      <c r="A37" s="5" t="s">
        <v>91</v>
      </c>
      <c r="B37" s="5" t="s">
        <v>33</v>
      </c>
      <c r="C37" s="5" t="s">
        <v>92</v>
      </c>
      <c r="D37" s="5" t="s">
        <v>27</v>
      </c>
      <c r="E37" s="5">
        <v>54</v>
      </c>
      <c r="F37" s="5">
        <v>7064</v>
      </c>
      <c r="G37" s="6">
        <v>44871</v>
      </c>
      <c r="H37" s="5">
        <v>3</v>
      </c>
      <c r="I37" s="5" t="s">
        <v>35</v>
      </c>
      <c r="J37" s="5" t="s">
        <v>56</v>
      </c>
      <c r="K37" s="5">
        <f t="shared" si="0"/>
        <v>2</v>
      </c>
      <c r="L37" s="5" t="s">
        <v>30</v>
      </c>
      <c r="M37" s="5" t="s">
        <v>36</v>
      </c>
      <c r="N37" s="5" t="s">
        <v>1</v>
      </c>
    </row>
    <row r="38" spans="1:14" x14ac:dyDescent="0.3">
      <c r="A38" s="3" t="s">
        <v>93</v>
      </c>
      <c r="B38" s="3" t="s">
        <v>25</v>
      </c>
      <c r="C38" s="3" t="s">
        <v>82</v>
      </c>
      <c r="D38" s="3" t="s">
        <v>11</v>
      </c>
      <c r="E38" s="3">
        <v>50</v>
      </c>
      <c r="F38" s="3">
        <v>8508</v>
      </c>
      <c r="G38" s="4">
        <v>45042</v>
      </c>
      <c r="H38" s="3">
        <v>3</v>
      </c>
      <c r="I38" s="3" t="s">
        <v>52</v>
      </c>
      <c r="J38" s="3" t="s">
        <v>56</v>
      </c>
      <c r="K38" s="3">
        <f t="shared" si="0"/>
        <v>2</v>
      </c>
      <c r="L38" s="3" t="s">
        <v>30</v>
      </c>
      <c r="M38" s="3" t="s">
        <v>36</v>
      </c>
      <c r="N38" s="3" t="s">
        <v>5</v>
      </c>
    </row>
    <row r="39" spans="1:14" x14ac:dyDescent="0.3">
      <c r="A39" s="5" t="s">
        <v>94</v>
      </c>
      <c r="B39" s="5" t="s">
        <v>33</v>
      </c>
      <c r="C39" s="5" t="s">
        <v>34</v>
      </c>
      <c r="D39" s="5" t="s">
        <v>27</v>
      </c>
      <c r="E39" s="5">
        <v>52</v>
      </c>
      <c r="F39" s="5">
        <v>6087</v>
      </c>
      <c r="G39" s="6">
        <v>42386</v>
      </c>
      <c r="H39" s="5">
        <v>10</v>
      </c>
      <c r="I39" s="5" t="s">
        <v>28</v>
      </c>
      <c r="J39" s="5" t="s">
        <v>56</v>
      </c>
      <c r="K39" s="5">
        <f t="shared" si="0"/>
        <v>2</v>
      </c>
      <c r="L39" s="5" t="s">
        <v>41</v>
      </c>
      <c r="M39" s="5" t="s">
        <v>31</v>
      </c>
      <c r="N39" s="5" t="s">
        <v>1</v>
      </c>
    </row>
    <row r="40" spans="1:14" x14ac:dyDescent="0.3">
      <c r="A40" s="3" t="s">
        <v>95</v>
      </c>
      <c r="B40" s="3" t="s">
        <v>25</v>
      </c>
      <c r="C40" s="3" t="s">
        <v>26</v>
      </c>
      <c r="D40" s="3" t="s">
        <v>12</v>
      </c>
      <c r="E40" s="3">
        <v>55</v>
      </c>
      <c r="F40" s="3">
        <v>2968</v>
      </c>
      <c r="G40" s="4">
        <v>42731</v>
      </c>
      <c r="H40" s="3">
        <v>9</v>
      </c>
      <c r="I40" s="3" t="s">
        <v>35</v>
      </c>
      <c r="J40" s="3" t="s">
        <v>29</v>
      </c>
      <c r="K40" s="3">
        <f t="shared" si="0"/>
        <v>3</v>
      </c>
      <c r="L40" s="3" t="s">
        <v>41</v>
      </c>
      <c r="M40" s="3" t="s">
        <v>31</v>
      </c>
      <c r="N40" s="3" t="s">
        <v>3</v>
      </c>
    </row>
    <row r="41" spans="1:14" x14ac:dyDescent="0.3">
      <c r="A41" s="5" t="s">
        <v>96</v>
      </c>
      <c r="B41" s="5" t="s">
        <v>33</v>
      </c>
      <c r="C41" s="5" t="s">
        <v>97</v>
      </c>
      <c r="D41" s="5" t="s">
        <v>11</v>
      </c>
      <c r="E41" s="5">
        <v>56</v>
      </c>
      <c r="F41" s="5">
        <v>6308</v>
      </c>
      <c r="G41" s="6">
        <v>44551</v>
      </c>
      <c r="H41" s="5">
        <v>4</v>
      </c>
      <c r="I41" s="5" t="s">
        <v>35</v>
      </c>
      <c r="J41" s="5" t="s">
        <v>50</v>
      </c>
      <c r="K41" s="5">
        <f t="shared" si="0"/>
        <v>4</v>
      </c>
      <c r="L41" s="5" t="s">
        <v>41</v>
      </c>
      <c r="M41" s="5" t="s">
        <v>31</v>
      </c>
      <c r="N41" s="5" t="s">
        <v>1</v>
      </c>
    </row>
    <row r="42" spans="1:14" x14ac:dyDescent="0.3">
      <c r="A42" s="3" t="s">
        <v>98</v>
      </c>
      <c r="B42" s="3" t="s">
        <v>62</v>
      </c>
      <c r="C42" s="3" t="s">
        <v>63</v>
      </c>
      <c r="D42" s="3" t="s">
        <v>11</v>
      </c>
      <c r="E42" s="3">
        <v>58</v>
      </c>
      <c r="F42" s="3">
        <v>7019</v>
      </c>
      <c r="G42" s="4">
        <v>44508</v>
      </c>
      <c r="H42" s="3">
        <v>4</v>
      </c>
      <c r="I42" s="3" t="s">
        <v>52</v>
      </c>
      <c r="J42" s="3" t="s">
        <v>40</v>
      </c>
      <c r="K42" s="3">
        <f t="shared" si="0"/>
        <v>1</v>
      </c>
      <c r="L42" s="3" t="s">
        <v>30</v>
      </c>
      <c r="M42" s="3" t="s">
        <v>31</v>
      </c>
      <c r="N42" s="3" t="s">
        <v>6</v>
      </c>
    </row>
    <row r="43" spans="1:14" x14ac:dyDescent="0.3">
      <c r="A43" s="5" t="s">
        <v>99</v>
      </c>
      <c r="B43" s="5" t="s">
        <v>62</v>
      </c>
      <c r="C43" s="5" t="s">
        <v>63</v>
      </c>
      <c r="D43" s="5" t="s">
        <v>27</v>
      </c>
      <c r="E43" s="5">
        <v>42</v>
      </c>
      <c r="F43" s="5">
        <v>8886</v>
      </c>
      <c r="G43" s="6">
        <v>45295</v>
      </c>
      <c r="H43" s="5">
        <v>2</v>
      </c>
      <c r="I43" s="5" t="s">
        <v>52</v>
      </c>
      <c r="J43" s="5" t="s">
        <v>29</v>
      </c>
      <c r="K43" s="5">
        <f t="shared" si="0"/>
        <v>3</v>
      </c>
      <c r="L43" s="5" t="s">
        <v>41</v>
      </c>
      <c r="M43" s="5" t="s">
        <v>53</v>
      </c>
      <c r="N43" s="5" t="s">
        <v>1</v>
      </c>
    </row>
    <row r="44" spans="1:14" x14ac:dyDescent="0.3">
      <c r="A44" s="3" t="s">
        <v>100</v>
      </c>
      <c r="B44" s="3" t="s">
        <v>38</v>
      </c>
      <c r="C44" s="3" t="s">
        <v>39</v>
      </c>
      <c r="D44" s="3" t="s">
        <v>12</v>
      </c>
      <c r="E44" s="3">
        <v>56</v>
      </c>
      <c r="F44" s="3">
        <v>4359</v>
      </c>
      <c r="G44" s="4">
        <v>45222</v>
      </c>
      <c r="H44" s="3">
        <v>2</v>
      </c>
      <c r="I44" s="3" t="s">
        <v>35</v>
      </c>
      <c r="J44" s="3" t="s">
        <v>50</v>
      </c>
      <c r="K44" s="3">
        <f t="shared" si="0"/>
        <v>4</v>
      </c>
      <c r="L44" s="3" t="s">
        <v>30</v>
      </c>
      <c r="M44" s="3" t="s">
        <v>53</v>
      </c>
      <c r="N44" s="3" t="s">
        <v>6</v>
      </c>
    </row>
    <row r="45" spans="1:14" x14ac:dyDescent="0.3">
      <c r="A45" s="5" t="s">
        <v>101</v>
      </c>
      <c r="B45" s="5" t="s">
        <v>25</v>
      </c>
      <c r="C45" s="5" t="s">
        <v>102</v>
      </c>
      <c r="D45" s="5" t="s">
        <v>11</v>
      </c>
      <c r="E45" s="5">
        <v>59</v>
      </c>
      <c r="F45" s="5">
        <v>2619</v>
      </c>
      <c r="G45" s="6">
        <v>42122</v>
      </c>
      <c r="H45" s="5">
        <v>11</v>
      </c>
      <c r="I45" s="5" t="s">
        <v>35</v>
      </c>
      <c r="J45" s="5" t="s">
        <v>56</v>
      </c>
      <c r="K45" s="5">
        <f t="shared" si="0"/>
        <v>2</v>
      </c>
      <c r="L45" s="5" t="s">
        <v>41</v>
      </c>
      <c r="M45" s="5" t="s">
        <v>53</v>
      </c>
      <c r="N45" s="5" t="s">
        <v>0</v>
      </c>
    </row>
    <row r="46" spans="1:14" x14ac:dyDescent="0.3">
      <c r="A46" s="3" t="s">
        <v>103</v>
      </c>
      <c r="B46" s="3" t="s">
        <v>43</v>
      </c>
      <c r="C46" s="3" t="s">
        <v>71</v>
      </c>
      <c r="D46" s="3" t="s">
        <v>27</v>
      </c>
      <c r="E46" s="3">
        <v>31</v>
      </c>
      <c r="F46" s="3">
        <v>3807</v>
      </c>
      <c r="G46" s="4">
        <v>44390</v>
      </c>
      <c r="H46" s="3">
        <v>4</v>
      </c>
      <c r="I46" s="3" t="s">
        <v>35</v>
      </c>
      <c r="J46" s="3" t="s">
        <v>40</v>
      </c>
      <c r="K46" s="3">
        <f t="shared" si="0"/>
        <v>1</v>
      </c>
      <c r="L46" s="3" t="s">
        <v>30</v>
      </c>
      <c r="M46" s="3" t="s">
        <v>36</v>
      </c>
      <c r="N46" s="3" t="s">
        <v>6</v>
      </c>
    </row>
    <row r="47" spans="1:14" x14ac:dyDescent="0.3">
      <c r="A47" s="5" t="s">
        <v>104</v>
      </c>
      <c r="B47" s="5" t="s">
        <v>25</v>
      </c>
      <c r="C47" s="5" t="s">
        <v>82</v>
      </c>
      <c r="D47" s="5" t="s">
        <v>12</v>
      </c>
      <c r="E47" s="5">
        <v>28</v>
      </c>
      <c r="F47" s="5">
        <v>2991</v>
      </c>
      <c r="G47" s="6">
        <v>43211</v>
      </c>
      <c r="H47" s="5">
        <v>8</v>
      </c>
      <c r="I47" s="5" t="s">
        <v>35</v>
      </c>
      <c r="J47" s="5" t="s">
        <v>29</v>
      </c>
      <c r="K47" s="5">
        <f t="shared" si="0"/>
        <v>3</v>
      </c>
      <c r="L47" s="5" t="s">
        <v>30</v>
      </c>
      <c r="M47" s="5" t="s">
        <v>31</v>
      </c>
      <c r="N47" s="5" t="s">
        <v>0</v>
      </c>
    </row>
    <row r="48" spans="1:14" x14ac:dyDescent="0.3">
      <c r="A48" s="3" t="s">
        <v>105</v>
      </c>
      <c r="B48" s="3" t="s">
        <v>62</v>
      </c>
      <c r="C48" s="3" t="s">
        <v>68</v>
      </c>
      <c r="D48" s="3" t="s">
        <v>11</v>
      </c>
      <c r="E48" s="3">
        <v>51</v>
      </c>
      <c r="F48" s="3">
        <v>5175</v>
      </c>
      <c r="G48" s="4">
        <v>42276</v>
      </c>
      <c r="H48" s="3">
        <v>10</v>
      </c>
      <c r="I48" s="3" t="s">
        <v>28</v>
      </c>
      <c r="J48" s="3" t="s">
        <v>29</v>
      </c>
      <c r="K48" s="3">
        <f t="shared" si="0"/>
        <v>3</v>
      </c>
      <c r="L48" s="3" t="s">
        <v>30</v>
      </c>
      <c r="M48" s="3" t="s">
        <v>36</v>
      </c>
      <c r="N48" s="3" t="s">
        <v>1</v>
      </c>
    </row>
    <row r="49" spans="1:14" x14ac:dyDescent="0.3">
      <c r="A49" s="5" t="s">
        <v>106</v>
      </c>
      <c r="B49" s="5" t="s">
        <v>25</v>
      </c>
      <c r="C49" s="5" t="s">
        <v>26</v>
      </c>
      <c r="D49" s="5" t="s">
        <v>27</v>
      </c>
      <c r="E49" s="5">
        <v>26</v>
      </c>
      <c r="F49" s="5">
        <v>6135</v>
      </c>
      <c r="G49" s="6">
        <v>44373</v>
      </c>
      <c r="H49" s="5">
        <v>5</v>
      </c>
      <c r="I49" s="5" t="s">
        <v>35</v>
      </c>
      <c r="J49" s="5" t="s">
        <v>56</v>
      </c>
      <c r="K49" s="5">
        <f t="shared" si="0"/>
        <v>2</v>
      </c>
      <c r="L49" s="5" t="s">
        <v>41</v>
      </c>
      <c r="M49" s="5" t="s">
        <v>36</v>
      </c>
      <c r="N49" s="5" t="s">
        <v>6</v>
      </c>
    </row>
    <row r="50" spans="1:14" x14ac:dyDescent="0.3">
      <c r="A50" s="3" t="s">
        <v>107</v>
      </c>
      <c r="B50" s="3" t="s">
        <v>33</v>
      </c>
      <c r="C50" s="3" t="s">
        <v>34</v>
      </c>
      <c r="D50" s="3" t="s">
        <v>12</v>
      </c>
      <c r="E50" s="3">
        <v>25</v>
      </c>
      <c r="F50" s="3">
        <v>8796</v>
      </c>
      <c r="G50" s="4">
        <v>44300</v>
      </c>
      <c r="H50" s="3">
        <v>5</v>
      </c>
      <c r="I50" s="3" t="s">
        <v>28</v>
      </c>
      <c r="J50" s="3" t="s">
        <v>40</v>
      </c>
      <c r="K50" s="3">
        <f t="shared" si="0"/>
        <v>1</v>
      </c>
      <c r="L50" s="3" t="s">
        <v>30</v>
      </c>
      <c r="M50" s="3" t="s">
        <v>53</v>
      </c>
      <c r="N50" s="3" t="s">
        <v>4</v>
      </c>
    </row>
    <row r="51" spans="1:14" x14ac:dyDescent="0.3">
      <c r="A51" s="5" t="s">
        <v>108</v>
      </c>
      <c r="B51" s="5" t="s">
        <v>25</v>
      </c>
      <c r="C51" s="5" t="s">
        <v>102</v>
      </c>
      <c r="D51" s="5" t="s">
        <v>12</v>
      </c>
      <c r="E51" s="5">
        <v>27</v>
      </c>
      <c r="F51" s="5">
        <v>4667</v>
      </c>
      <c r="G51" s="6">
        <v>44715</v>
      </c>
      <c r="H51" s="5">
        <v>4</v>
      </c>
      <c r="I51" s="5" t="s">
        <v>28</v>
      </c>
      <c r="J51" s="5" t="s">
        <v>40</v>
      </c>
      <c r="K51" s="5">
        <f t="shared" si="0"/>
        <v>1</v>
      </c>
      <c r="L51" s="5" t="s">
        <v>30</v>
      </c>
      <c r="M51" s="5" t="s">
        <v>36</v>
      </c>
      <c r="N51" s="5" t="s">
        <v>4</v>
      </c>
    </row>
    <row r="52" spans="1:14" x14ac:dyDescent="0.3">
      <c r="A52" s="3" t="s">
        <v>109</v>
      </c>
      <c r="B52" s="3" t="s">
        <v>62</v>
      </c>
      <c r="C52" s="3" t="s">
        <v>110</v>
      </c>
      <c r="D52" s="3" t="s">
        <v>11</v>
      </c>
      <c r="E52" s="3">
        <v>52</v>
      </c>
      <c r="F52" s="3">
        <v>8761</v>
      </c>
      <c r="G52" s="4">
        <v>43164</v>
      </c>
      <c r="H52" s="3">
        <v>8</v>
      </c>
      <c r="I52" s="3" t="s">
        <v>35</v>
      </c>
      <c r="J52" s="3" t="s">
        <v>29</v>
      </c>
      <c r="K52" s="3">
        <f t="shared" si="0"/>
        <v>3</v>
      </c>
      <c r="L52" s="3" t="s">
        <v>30</v>
      </c>
      <c r="M52" s="3" t="s">
        <v>36</v>
      </c>
      <c r="N52" s="3" t="s">
        <v>4</v>
      </c>
    </row>
    <row r="53" spans="1:14" x14ac:dyDescent="0.3">
      <c r="A53" s="5" t="s">
        <v>111</v>
      </c>
      <c r="B53" s="5" t="s">
        <v>25</v>
      </c>
      <c r="C53" s="5" t="s">
        <v>102</v>
      </c>
      <c r="D53" s="5" t="s">
        <v>11</v>
      </c>
      <c r="E53" s="5">
        <v>44</v>
      </c>
      <c r="F53" s="5">
        <v>7721</v>
      </c>
      <c r="G53" s="6">
        <v>45561</v>
      </c>
      <c r="H53" s="5">
        <v>1</v>
      </c>
      <c r="I53" s="5" t="s">
        <v>52</v>
      </c>
      <c r="J53" s="5" t="s">
        <v>29</v>
      </c>
      <c r="K53" s="5">
        <f t="shared" si="0"/>
        <v>3</v>
      </c>
      <c r="L53" s="5" t="s">
        <v>30</v>
      </c>
      <c r="M53" s="5" t="s">
        <v>36</v>
      </c>
      <c r="N53" s="5" t="s">
        <v>3</v>
      </c>
    </row>
    <row r="54" spans="1:14" x14ac:dyDescent="0.3">
      <c r="A54" s="3" t="s">
        <v>112</v>
      </c>
      <c r="B54" s="3" t="s">
        <v>48</v>
      </c>
      <c r="C54" s="3" t="s">
        <v>49</v>
      </c>
      <c r="D54" s="3" t="s">
        <v>27</v>
      </c>
      <c r="E54" s="3">
        <v>60</v>
      </c>
      <c r="F54" s="3">
        <v>4704</v>
      </c>
      <c r="G54" s="4">
        <v>43853</v>
      </c>
      <c r="H54" s="3">
        <v>6</v>
      </c>
      <c r="I54" s="3" t="s">
        <v>52</v>
      </c>
      <c r="J54" s="3" t="s">
        <v>40</v>
      </c>
      <c r="K54" s="3">
        <f t="shared" si="0"/>
        <v>1</v>
      </c>
      <c r="L54" s="3" t="s">
        <v>41</v>
      </c>
      <c r="M54" s="3" t="s">
        <v>31</v>
      </c>
      <c r="N54" s="3" t="s">
        <v>0</v>
      </c>
    </row>
    <row r="55" spans="1:14" x14ac:dyDescent="0.3">
      <c r="A55" s="5" t="s">
        <v>113</v>
      </c>
      <c r="B55" s="5" t="s">
        <v>48</v>
      </c>
      <c r="C55" s="5" t="s">
        <v>58</v>
      </c>
      <c r="D55" s="5" t="s">
        <v>12</v>
      </c>
      <c r="E55" s="5">
        <v>53</v>
      </c>
      <c r="F55" s="5">
        <v>3567</v>
      </c>
      <c r="G55" s="6">
        <v>45748</v>
      </c>
      <c r="H55" s="5">
        <v>1</v>
      </c>
      <c r="I55" s="5" t="s">
        <v>28</v>
      </c>
      <c r="J55" s="5" t="s">
        <v>40</v>
      </c>
      <c r="K55" s="5">
        <f t="shared" si="0"/>
        <v>1</v>
      </c>
      <c r="L55" s="5" t="s">
        <v>41</v>
      </c>
      <c r="M55" s="5" t="s">
        <v>36</v>
      </c>
      <c r="N55" s="5" t="s">
        <v>0</v>
      </c>
    </row>
    <row r="56" spans="1:14" x14ac:dyDescent="0.3">
      <c r="A56" s="3" t="s">
        <v>114</v>
      </c>
      <c r="B56" s="3" t="s">
        <v>62</v>
      </c>
      <c r="C56" s="3" t="s">
        <v>110</v>
      </c>
      <c r="D56" s="3" t="s">
        <v>27</v>
      </c>
      <c r="E56" s="3">
        <v>55</v>
      </c>
      <c r="F56" s="3">
        <v>1871</v>
      </c>
      <c r="G56" s="4">
        <v>44290</v>
      </c>
      <c r="H56" s="3">
        <v>5</v>
      </c>
      <c r="I56" s="3" t="s">
        <v>52</v>
      </c>
      <c r="J56" s="3" t="s">
        <v>40</v>
      </c>
      <c r="K56" s="3">
        <f t="shared" si="0"/>
        <v>1</v>
      </c>
      <c r="L56" s="3" t="s">
        <v>30</v>
      </c>
      <c r="M56" s="3" t="s">
        <v>36</v>
      </c>
      <c r="N56" s="3" t="s">
        <v>4</v>
      </c>
    </row>
    <row r="57" spans="1:14" x14ac:dyDescent="0.3">
      <c r="A57" s="5" t="s">
        <v>115</v>
      </c>
      <c r="B57" s="5" t="s">
        <v>48</v>
      </c>
      <c r="C57" s="5" t="s">
        <v>49</v>
      </c>
      <c r="D57" s="5" t="s">
        <v>12</v>
      </c>
      <c r="E57" s="5">
        <v>45</v>
      </c>
      <c r="F57" s="5">
        <v>4517</v>
      </c>
      <c r="G57" s="6">
        <v>44244</v>
      </c>
      <c r="H57" s="5">
        <v>5</v>
      </c>
      <c r="I57" s="5" t="s">
        <v>45</v>
      </c>
      <c r="J57" s="5" t="s">
        <v>50</v>
      </c>
      <c r="K57" s="5">
        <f t="shared" si="0"/>
        <v>4</v>
      </c>
      <c r="L57" s="5" t="s">
        <v>30</v>
      </c>
      <c r="M57" s="5" t="s">
        <v>36</v>
      </c>
      <c r="N57" s="5" t="s">
        <v>0</v>
      </c>
    </row>
    <row r="58" spans="1:14" x14ac:dyDescent="0.3">
      <c r="A58" s="3" t="s">
        <v>116</v>
      </c>
      <c r="B58" s="3" t="s">
        <v>25</v>
      </c>
      <c r="C58" s="3" t="s">
        <v>26</v>
      </c>
      <c r="D58" s="3" t="s">
        <v>27</v>
      </c>
      <c r="E58" s="3">
        <v>37</v>
      </c>
      <c r="F58" s="3">
        <v>4477</v>
      </c>
      <c r="G58" s="4">
        <v>45300</v>
      </c>
      <c r="H58" s="3">
        <v>2</v>
      </c>
      <c r="I58" s="3" t="s">
        <v>45</v>
      </c>
      <c r="J58" s="3" t="s">
        <v>56</v>
      </c>
      <c r="K58" s="3">
        <f t="shared" si="0"/>
        <v>2</v>
      </c>
      <c r="L58" s="3" t="s">
        <v>41</v>
      </c>
      <c r="M58" s="3" t="s">
        <v>31</v>
      </c>
      <c r="N58" s="3" t="s">
        <v>1</v>
      </c>
    </row>
    <row r="59" spans="1:14" x14ac:dyDescent="0.3">
      <c r="A59" s="5" t="s">
        <v>117</v>
      </c>
      <c r="B59" s="5" t="s">
        <v>33</v>
      </c>
      <c r="C59" s="5" t="s">
        <v>97</v>
      </c>
      <c r="D59" s="5" t="s">
        <v>27</v>
      </c>
      <c r="E59" s="5">
        <v>32</v>
      </c>
      <c r="F59" s="5">
        <v>8534</v>
      </c>
      <c r="G59" s="6">
        <v>42363</v>
      </c>
      <c r="H59" s="5">
        <v>10</v>
      </c>
      <c r="I59" s="5" t="s">
        <v>52</v>
      </c>
      <c r="J59" s="5" t="s">
        <v>40</v>
      </c>
      <c r="K59" s="5">
        <f t="shared" si="0"/>
        <v>1</v>
      </c>
      <c r="L59" s="5" t="s">
        <v>41</v>
      </c>
      <c r="M59" s="5" t="s">
        <v>53</v>
      </c>
      <c r="N59" s="5" t="s">
        <v>4</v>
      </c>
    </row>
    <row r="60" spans="1:14" x14ac:dyDescent="0.3">
      <c r="A60" s="3" t="s">
        <v>118</v>
      </c>
      <c r="B60" s="3" t="s">
        <v>48</v>
      </c>
      <c r="C60" s="3" t="s">
        <v>49</v>
      </c>
      <c r="D60" s="3" t="s">
        <v>11</v>
      </c>
      <c r="E60" s="3">
        <v>33</v>
      </c>
      <c r="F60" s="3">
        <v>6307</v>
      </c>
      <c r="G60" s="4">
        <v>42186</v>
      </c>
      <c r="H60" s="3">
        <v>11</v>
      </c>
      <c r="I60" s="3" t="s">
        <v>28</v>
      </c>
      <c r="J60" s="3" t="s">
        <v>50</v>
      </c>
      <c r="K60" s="3">
        <f t="shared" si="0"/>
        <v>4</v>
      </c>
      <c r="L60" s="3" t="s">
        <v>30</v>
      </c>
      <c r="M60" s="3" t="s">
        <v>31</v>
      </c>
      <c r="N60" s="3" t="s">
        <v>0</v>
      </c>
    </row>
    <row r="61" spans="1:14" x14ac:dyDescent="0.3">
      <c r="A61" s="5" t="s">
        <v>119</v>
      </c>
      <c r="B61" s="5" t="s">
        <v>43</v>
      </c>
      <c r="C61" s="5" t="s">
        <v>55</v>
      </c>
      <c r="D61" s="5" t="s">
        <v>12</v>
      </c>
      <c r="E61" s="5">
        <v>57</v>
      </c>
      <c r="F61" s="5">
        <v>6399</v>
      </c>
      <c r="G61" s="6">
        <v>45659</v>
      </c>
      <c r="H61" s="5">
        <v>1</v>
      </c>
      <c r="I61" s="5" t="s">
        <v>52</v>
      </c>
      <c r="J61" s="5" t="s">
        <v>29</v>
      </c>
      <c r="K61" s="5">
        <f t="shared" si="0"/>
        <v>3</v>
      </c>
      <c r="L61" s="5" t="s">
        <v>41</v>
      </c>
      <c r="M61" s="5" t="s">
        <v>31</v>
      </c>
      <c r="N61" s="5" t="s">
        <v>5</v>
      </c>
    </row>
    <row r="62" spans="1:14" x14ac:dyDescent="0.3">
      <c r="A62" s="3" t="s">
        <v>120</v>
      </c>
      <c r="B62" s="3" t="s">
        <v>33</v>
      </c>
      <c r="C62" s="3" t="s">
        <v>92</v>
      </c>
      <c r="D62" s="3" t="s">
        <v>11</v>
      </c>
      <c r="E62" s="3">
        <v>49</v>
      </c>
      <c r="F62" s="3">
        <v>6632</v>
      </c>
      <c r="G62" s="4">
        <v>42856</v>
      </c>
      <c r="H62" s="3">
        <v>9</v>
      </c>
      <c r="I62" s="3" t="s">
        <v>52</v>
      </c>
      <c r="J62" s="3" t="s">
        <v>56</v>
      </c>
      <c r="K62" s="3">
        <f t="shared" si="0"/>
        <v>2</v>
      </c>
      <c r="L62" s="3" t="s">
        <v>41</v>
      </c>
      <c r="M62" s="3" t="s">
        <v>31</v>
      </c>
      <c r="N62" s="3" t="s">
        <v>5</v>
      </c>
    </row>
    <row r="63" spans="1:14" x14ac:dyDescent="0.3">
      <c r="A63" s="5" t="s">
        <v>121</v>
      </c>
      <c r="B63" s="5" t="s">
        <v>62</v>
      </c>
      <c r="C63" s="5" t="s">
        <v>68</v>
      </c>
      <c r="D63" s="5" t="s">
        <v>27</v>
      </c>
      <c r="E63" s="5">
        <v>41</v>
      </c>
      <c r="F63" s="5">
        <v>7222</v>
      </c>
      <c r="G63" s="6">
        <v>43846</v>
      </c>
      <c r="H63" s="5">
        <v>6</v>
      </c>
      <c r="I63" s="5" t="s">
        <v>45</v>
      </c>
      <c r="J63" s="5" t="s">
        <v>56</v>
      </c>
      <c r="K63" s="5">
        <f t="shared" si="0"/>
        <v>2</v>
      </c>
      <c r="L63" s="5" t="s">
        <v>30</v>
      </c>
      <c r="M63" s="5" t="s">
        <v>53</v>
      </c>
      <c r="N63" s="5" t="s">
        <v>6</v>
      </c>
    </row>
    <row r="64" spans="1:14" x14ac:dyDescent="0.3">
      <c r="A64" s="3" t="s">
        <v>122</v>
      </c>
      <c r="B64" s="3" t="s">
        <v>48</v>
      </c>
      <c r="C64" s="3" t="s">
        <v>58</v>
      </c>
      <c r="D64" s="3" t="s">
        <v>27</v>
      </c>
      <c r="E64" s="3">
        <v>27</v>
      </c>
      <c r="F64" s="3">
        <v>8375</v>
      </c>
      <c r="G64" s="4">
        <v>43650</v>
      </c>
      <c r="H64" s="3">
        <v>6</v>
      </c>
      <c r="I64" s="3" t="s">
        <v>52</v>
      </c>
      <c r="J64" s="3" t="s">
        <v>56</v>
      </c>
      <c r="K64" s="3">
        <f t="shared" si="0"/>
        <v>2</v>
      </c>
      <c r="L64" s="3" t="s">
        <v>30</v>
      </c>
      <c r="M64" s="3" t="s">
        <v>31</v>
      </c>
      <c r="N64" s="3" t="s">
        <v>5</v>
      </c>
    </row>
    <row r="65" spans="1:14" x14ac:dyDescent="0.3">
      <c r="A65" s="5" t="s">
        <v>123</v>
      </c>
      <c r="B65" s="5" t="s">
        <v>43</v>
      </c>
      <c r="C65" s="5" t="s">
        <v>71</v>
      </c>
      <c r="D65" s="5" t="s">
        <v>12</v>
      </c>
      <c r="E65" s="5">
        <v>25</v>
      </c>
      <c r="F65" s="5">
        <v>2125</v>
      </c>
      <c r="G65" s="6">
        <v>43446</v>
      </c>
      <c r="H65" s="5">
        <v>7</v>
      </c>
      <c r="I65" s="5" t="s">
        <v>35</v>
      </c>
      <c r="J65" s="5" t="s">
        <v>50</v>
      </c>
      <c r="K65" s="5">
        <f t="shared" si="0"/>
        <v>4</v>
      </c>
      <c r="L65" s="5" t="s">
        <v>41</v>
      </c>
      <c r="M65" s="5" t="s">
        <v>31</v>
      </c>
      <c r="N65" s="5" t="s">
        <v>2</v>
      </c>
    </row>
    <row r="66" spans="1:14" x14ac:dyDescent="0.3">
      <c r="A66" s="3" t="s">
        <v>124</v>
      </c>
      <c r="B66" s="3" t="s">
        <v>33</v>
      </c>
      <c r="C66" s="3" t="s">
        <v>97</v>
      </c>
      <c r="D66" s="3" t="s">
        <v>12</v>
      </c>
      <c r="E66" s="3">
        <v>54</v>
      </c>
      <c r="F66" s="3">
        <v>6888</v>
      </c>
      <c r="G66" s="4">
        <v>46006</v>
      </c>
      <c r="H66" s="3">
        <v>0</v>
      </c>
      <c r="I66" s="3" t="s">
        <v>28</v>
      </c>
      <c r="J66" s="3" t="s">
        <v>50</v>
      </c>
      <c r="K66" s="3">
        <f t="shared" ref="K66:K101" si="1">IF(J66="Excellent",4,IF(J66="Good",3,IF(J66="Average",2,IF(J66="needs improvement",1,""))))</f>
        <v>4</v>
      </c>
      <c r="L66" s="3" t="s">
        <v>30</v>
      </c>
      <c r="M66" s="3" t="s">
        <v>31</v>
      </c>
      <c r="N66" s="3" t="s">
        <v>2</v>
      </c>
    </row>
    <row r="67" spans="1:14" x14ac:dyDescent="0.3">
      <c r="A67" s="5" t="s">
        <v>125</v>
      </c>
      <c r="B67" s="5" t="s">
        <v>43</v>
      </c>
      <c r="C67" s="5" t="s">
        <v>44</v>
      </c>
      <c r="D67" s="5" t="s">
        <v>11</v>
      </c>
      <c r="E67" s="5">
        <v>23</v>
      </c>
      <c r="F67" s="5">
        <v>8934</v>
      </c>
      <c r="G67" s="6">
        <v>45678</v>
      </c>
      <c r="H67" s="5">
        <v>1</v>
      </c>
      <c r="I67" s="5" t="s">
        <v>52</v>
      </c>
      <c r="J67" s="5" t="s">
        <v>56</v>
      </c>
      <c r="K67" s="5">
        <f t="shared" si="1"/>
        <v>2</v>
      </c>
      <c r="L67" s="5" t="s">
        <v>30</v>
      </c>
      <c r="M67" s="5" t="s">
        <v>31</v>
      </c>
      <c r="N67" s="5" t="s">
        <v>1</v>
      </c>
    </row>
    <row r="68" spans="1:14" x14ac:dyDescent="0.3">
      <c r="A68" s="3" t="s">
        <v>126</v>
      </c>
      <c r="B68" s="3" t="s">
        <v>33</v>
      </c>
      <c r="C68" s="3" t="s">
        <v>92</v>
      </c>
      <c r="D68" s="3" t="s">
        <v>12</v>
      </c>
      <c r="E68" s="3">
        <v>35</v>
      </c>
      <c r="F68" s="3">
        <v>6415</v>
      </c>
      <c r="G68" s="4">
        <v>45472</v>
      </c>
      <c r="H68" s="3">
        <v>2</v>
      </c>
      <c r="I68" s="3" t="s">
        <v>52</v>
      </c>
      <c r="J68" s="3" t="s">
        <v>29</v>
      </c>
      <c r="K68" s="3">
        <f t="shared" si="1"/>
        <v>3</v>
      </c>
      <c r="L68" s="3" t="s">
        <v>30</v>
      </c>
      <c r="M68" s="3" t="s">
        <v>36</v>
      </c>
      <c r="N68" s="3" t="s">
        <v>5</v>
      </c>
    </row>
    <row r="69" spans="1:14" x14ac:dyDescent="0.3">
      <c r="A69" s="5" t="s">
        <v>127</v>
      </c>
      <c r="B69" s="5" t="s">
        <v>48</v>
      </c>
      <c r="C69" s="5" t="s">
        <v>58</v>
      </c>
      <c r="D69" s="5" t="s">
        <v>27</v>
      </c>
      <c r="E69" s="5">
        <v>36</v>
      </c>
      <c r="F69" s="5">
        <v>6565</v>
      </c>
      <c r="G69" s="6">
        <v>42663</v>
      </c>
      <c r="H69" s="5">
        <v>9</v>
      </c>
      <c r="I69" s="5" t="s">
        <v>52</v>
      </c>
      <c r="J69" s="5" t="s">
        <v>56</v>
      </c>
      <c r="K69" s="5">
        <f t="shared" si="1"/>
        <v>2</v>
      </c>
      <c r="L69" s="5" t="s">
        <v>41</v>
      </c>
      <c r="M69" s="5" t="s">
        <v>36</v>
      </c>
      <c r="N69" s="5" t="s">
        <v>2</v>
      </c>
    </row>
    <row r="70" spans="1:14" x14ac:dyDescent="0.3">
      <c r="A70" s="3" t="s">
        <v>128</v>
      </c>
      <c r="B70" s="3" t="s">
        <v>38</v>
      </c>
      <c r="C70" s="3" t="s">
        <v>39</v>
      </c>
      <c r="D70" s="3" t="s">
        <v>12</v>
      </c>
      <c r="E70" s="3">
        <v>47</v>
      </c>
      <c r="F70" s="3">
        <v>4050</v>
      </c>
      <c r="G70" s="4">
        <v>43619</v>
      </c>
      <c r="H70" s="3">
        <v>7</v>
      </c>
      <c r="I70" s="3" t="s">
        <v>28</v>
      </c>
      <c r="J70" s="3" t="s">
        <v>40</v>
      </c>
      <c r="K70" s="3">
        <f t="shared" si="1"/>
        <v>1</v>
      </c>
      <c r="L70" s="3" t="s">
        <v>41</v>
      </c>
      <c r="M70" s="3" t="s">
        <v>53</v>
      </c>
      <c r="N70" s="3" t="s">
        <v>2</v>
      </c>
    </row>
    <row r="71" spans="1:14" x14ac:dyDescent="0.3">
      <c r="A71" s="5" t="s">
        <v>129</v>
      </c>
      <c r="B71" s="5" t="s">
        <v>62</v>
      </c>
      <c r="C71" s="5" t="s">
        <v>63</v>
      </c>
      <c r="D71" s="5" t="s">
        <v>11</v>
      </c>
      <c r="E71" s="5">
        <v>55</v>
      </c>
      <c r="F71" s="5">
        <v>3348</v>
      </c>
      <c r="G71" s="6">
        <v>44986</v>
      </c>
      <c r="H71" s="5">
        <v>3</v>
      </c>
      <c r="I71" s="5" t="s">
        <v>52</v>
      </c>
      <c r="J71" s="5" t="s">
        <v>56</v>
      </c>
      <c r="K71" s="5">
        <f t="shared" si="1"/>
        <v>2</v>
      </c>
      <c r="L71" s="5" t="s">
        <v>41</v>
      </c>
      <c r="M71" s="5" t="s">
        <v>36</v>
      </c>
      <c r="N71" s="5" t="s">
        <v>2</v>
      </c>
    </row>
    <row r="72" spans="1:14" x14ac:dyDescent="0.3">
      <c r="A72" s="3" t="s">
        <v>130</v>
      </c>
      <c r="B72" s="3" t="s">
        <v>25</v>
      </c>
      <c r="C72" s="3" t="s">
        <v>82</v>
      </c>
      <c r="D72" s="3" t="s">
        <v>12</v>
      </c>
      <c r="E72" s="3">
        <v>51</v>
      </c>
      <c r="F72" s="3">
        <v>5809</v>
      </c>
      <c r="G72" s="4">
        <v>44587</v>
      </c>
      <c r="H72" s="3">
        <v>4</v>
      </c>
      <c r="I72" s="3" t="s">
        <v>28</v>
      </c>
      <c r="J72" s="3" t="s">
        <v>29</v>
      </c>
      <c r="K72" s="3">
        <f t="shared" si="1"/>
        <v>3</v>
      </c>
      <c r="L72" s="3" t="s">
        <v>30</v>
      </c>
      <c r="M72" s="3" t="s">
        <v>53</v>
      </c>
      <c r="N72" s="3" t="s">
        <v>2</v>
      </c>
    </row>
    <row r="73" spans="1:14" x14ac:dyDescent="0.3">
      <c r="A73" s="5" t="s">
        <v>131</v>
      </c>
      <c r="B73" s="5" t="s">
        <v>38</v>
      </c>
      <c r="C73" s="5" t="s">
        <v>39</v>
      </c>
      <c r="D73" s="5" t="s">
        <v>11</v>
      </c>
      <c r="E73" s="5">
        <v>22</v>
      </c>
      <c r="F73" s="5">
        <v>4050</v>
      </c>
      <c r="G73" s="6">
        <v>45782</v>
      </c>
      <c r="H73" s="5">
        <v>1</v>
      </c>
      <c r="I73" s="5" t="s">
        <v>52</v>
      </c>
      <c r="J73" s="5" t="s">
        <v>50</v>
      </c>
      <c r="K73" s="5">
        <f t="shared" si="1"/>
        <v>4</v>
      </c>
      <c r="L73" s="5" t="s">
        <v>30</v>
      </c>
      <c r="M73" s="5" t="s">
        <v>53</v>
      </c>
      <c r="N73" s="5" t="s">
        <v>5</v>
      </c>
    </row>
    <row r="74" spans="1:14" x14ac:dyDescent="0.3">
      <c r="A74" s="3" t="s">
        <v>132</v>
      </c>
      <c r="B74" s="3" t="s">
        <v>25</v>
      </c>
      <c r="C74" s="3" t="s">
        <v>26</v>
      </c>
      <c r="D74" s="3" t="s">
        <v>27</v>
      </c>
      <c r="E74" s="3">
        <v>42</v>
      </c>
      <c r="F74" s="3">
        <v>3480</v>
      </c>
      <c r="G74" s="4">
        <v>43028</v>
      </c>
      <c r="H74" s="3">
        <v>8</v>
      </c>
      <c r="I74" s="3" t="s">
        <v>35</v>
      </c>
      <c r="J74" s="3" t="s">
        <v>29</v>
      </c>
      <c r="K74" s="3">
        <f t="shared" si="1"/>
        <v>3</v>
      </c>
      <c r="L74" s="3" t="s">
        <v>41</v>
      </c>
      <c r="M74" s="3" t="s">
        <v>31</v>
      </c>
      <c r="N74" s="3" t="s">
        <v>2</v>
      </c>
    </row>
    <row r="75" spans="1:14" x14ac:dyDescent="0.3">
      <c r="A75" s="5" t="s">
        <v>133</v>
      </c>
      <c r="B75" s="5" t="s">
        <v>33</v>
      </c>
      <c r="C75" s="5" t="s">
        <v>92</v>
      </c>
      <c r="D75" s="5" t="s">
        <v>11</v>
      </c>
      <c r="E75" s="5">
        <v>46</v>
      </c>
      <c r="F75" s="5">
        <v>6108</v>
      </c>
      <c r="G75" s="6">
        <v>42459</v>
      </c>
      <c r="H75" s="5">
        <v>10</v>
      </c>
      <c r="I75" s="5" t="s">
        <v>45</v>
      </c>
      <c r="J75" s="5" t="s">
        <v>56</v>
      </c>
      <c r="K75" s="5">
        <f t="shared" si="1"/>
        <v>2</v>
      </c>
      <c r="L75" s="5" t="s">
        <v>30</v>
      </c>
      <c r="M75" s="5" t="s">
        <v>31</v>
      </c>
      <c r="N75" s="5" t="s">
        <v>5</v>
      </c>
    </row>
    <row r="76" spans="1:14" x14ac:dyDescent="0.3">
      <c r="A76" s="3" t="s">
        <v>134</v>
      </c>
      <c r="B76" s="3" t="s">
        <v>33</v>
      </c>
      <c r="C76" s="3" t="s">
        <v>92</v>
      </c>
      <c r="D76" s="3" t="s">
        <v>12</v>
      </c>
      <c r="E76" s="3">
        <v>53</v>
      </c>
      <c r="F76" s="3">
        <v>5712</v>
      </c>
      <c r="G76" s="4">
        <v>44133</v>
      </c>
      <c r="H76" s="3">
        <v>5</v>
      </c>
      <c r="I76" s="3" t="s">
        <v>35</v>
      </c>
      <c r="J76" s="3" t="s">
        <v>56</v>
      </c>
      <c r="K76" s="3">
        <f t="shared" si="1"/>
        <v>2</v>
      </c>
      <c r="L76" s="3" t="s">
        <v>41</v>
      </c>
      <c r="M76" s="3" t="s">
        <v>31</v>
      </c>
      <c r="N76" s="3" t="s">
        <v>4</v>
      </c>
    </row>
    <row r="77" spans="1:14" x14ac:dyDescent="0.3">
      <c r="A77" s="5" t="s">
        <v>135</v>
      </c>
      <c r="B77" s="5" t="s">
        <v>43</v>
      </c>
      <c r="C77" s="5" t="s">
        <v>44</v>
      </c>
      <c r="D77" s="5" t="s">
        <v>11</v>
      </c>
      <c r="E77" s="5">
        <v>49</v>
      </c>
      <c r="F77" s="5">
        <v>2434</v>
      </c>
      <c r="G77" s="6">
        <v>42109</v>
      </c>
      <c r="H77" s="5">
        <v>11</v>
      </c>
      <c r="I77" s="5" t="s">
        <v>28</v>
      </c>
      <c r="J77" s="5" t="s">
        <v>40</v>
      </c>
      <c r="K77" s="5">
        <f t="shared" si="1"/>
        <v>1</v>
      </c>
      <c r="L77" s="5" t="s">
        <v>41</v>
      </c>
      <c r="M77" s="5" t="s">
        <v>53</v>
      </c>
      <c r="N77" s="5" t="s">
        <v>4</v>
      </c>
    </row>
    <row r="78" spans="1:14" x14ac:dyDescent="0.3">
      <c r="A78" s="3" t="s">
        <v>136</v>
      </c>
      <c r="B78" s="3" t="s">
        <v>38</v>
      </c>
      <c r="C78" s="3" t="s">
        <v>137</v>
      </c>
      <c r="D78" s="3" t="s">
        <v>11</v>
      </c>
      <c r="E78" s="3">
        <v>54</v>
      </c>
      <c r="F78" s="3">
        <v>2058</v>
      </c>
      <c r="G78" s="4">
        <v>44122</v>
      </c>
      <c r="H78" s="3">
        <v>5</v>
      </c>
      <c r="I78" s="3" t="s">
        <v>45</v>
      </c>
      <c r="J78" s="3" t="s">
        <v>29</v>
      </c>
      <c r="K78" s="3">
        <f t="shared" si="1"/>
        <v>3</v>
      </c>
      <c r="L78" s="3" t="s">
        <v>30</v>
      </c>
      <c r="M78" s="3" t="s">
        <v>53</v>
      </c>
      <c r="N78" s="3" t="s">
        <v>1</v>
      </c>
    </row>
    <row r="79" spans="1:14" x14ac:dyDescent="0.3">
      <c r="A79" s="5" t="s">
        <v>138</v>
      </c>
      <c r="B79" s="5" t="s">
        <v>43</v>
      </c>
      <c r="C79" s="5" t="s">
        <v>55</v>
      </c>
      <c r="D79" s="5" t="s">
        <v>11</v>
      </c>
      <c r="E79" s="5">
        <v>41</v>
      </c>
      <c r="F79" s="5">
        <v>3464</v>
      </c>
      <c r="G79" s="6">
        <v>46040</v>
      </c>
      <c r="H79" s="5">
        <v>0</v>
      </c>
      <c r="I79" s="5" t="s">
        <v>45</v>
      </c>
      <c r="J79" s="5" t="s">
        <v>29</v>
      </c>
      <c r="K79" s="5">
        <f t="shared" si="1"/>
        <v>3</v>
      </c>
      <c r="L79" s="5" t="s">
        <v>30</v>
      </c>
      <c r="M79" s="5" t="s">
        <v>31</v>
      </c>
      <c r="N79" s="5" t="s">
        <v>3</v>
      </c>
    </row>
    <row r="80" spans="1:14" x14ac:dyDescent="0.3">
      <c r="A80" s="3" t="s">
        <v>139</v>
      </c>
      <c r="B80" s="3" t="s">
        <v>38</v>
      </c>
      <c r="C80" s="3" t="s">
        <v>137</v>
      </c>
      <c r="D80" s="3" t="s">
        <v>12</v>
      </c>
      <c r="E80" s="3">
        <v>28</v>
      </c>
      <c r="F80" s="3">
        <v>1874</v>
      </c>
      <c r="G80" s="4">
        <v>44389</v>
      </c>
      <c r="H80" s="3">
        <v>4</v>
      </c>
      <c r="I80" s="3" t="s">
        <v>52</v>
      </c>
      <c r="J80" s="3" t="s">
        <v>29</v>
      </c>
      <c r="K80" s="3">
        <f t="shared" si="1"/>
        <v>3</v>
      </c>
      <c r="L80" s="3" t="s">
        <v>41</v>
      </c>
      <c r="M80" s="3" t="s">
        <v>53</v>
      </c>
      <c r="N80" s="3" t="s">
        <v>0</v>
      </c>
    </row>
    <row r="81" spans="1:14" x14ac:dyDescent="0.3">
      <c r="A81" s="5" t="s">
        <v>140</v>
      </c>
      <c r="B81" s="5" t="s">
        <v>25</v>
      </c>
      <c r="C81" s="5" t="s">
        <v>102</v>
      </c>
      <c r="D81" s="5" t="s">
        <v>11</v>
      </c>
      <c r="E81" s="5">
        <v>53</v>
      </c>
      <c r="F81" s="5">
        <v>4320</v>
      </c>
      <c r="G81" s="6">
        <v>44546</v>
      </c>
      <c r="H81" s="5">
        <v>4</v>
      </c>
      <c r="I81" s="5" t="s">
        <v>45</v>
      </c>
      <c r="J81" s="5" t="s">
        <v>50</v>
      </c>
      <c r="K81" s="5">
        <f t="shared" si="1"/>
        <v>4</v>
      </c>
      <c r="L81" s="5" t="s">
        <v>30</v>
      </c>
      <c r="M81" s="5" t="s">
        <v>36</v>
      </c>
      <c r="N81" s="5" t="s">
        <v>4</v>
      </c>
    </row>
    <row r="82" spans="1:14" x14ac:dyDescent="0.3">
      <c r="A82" s="3" t="s">
        <v>141</v>
      </c>
      <c r="B82" s="3" t="s">
        <v>48</v>
      </c>
      <c r="C82" s="3" t="s">
        <v>58</v>
      </c>
      <c r="D82" s="3" t="s">
        <v>27</v>
      </c>
      <c r="E82" s="3">
        <v>28</v>
      </c>
      <c r="F82" s="3">
        <v>4505</v>
      </c>
      <c r="G82" s="4">
        <v>42997</v>
      </c>
      <c r="H82" s="3">
        <v>8</v>
      </c>
      <c r="I82" s="3" t="s">
        <v>35</v>
      </c>
      <c r="J82" s="3" t="s">
        <v>50</v>
      </c>
      <c r="K82" s="3">
        <f t="shared" si="1"/>
        <v>4</v>
      </c>
      <c r="L82" s="3" t="s">
        <v>30</v>
      </c>
      <c r="M82" s="3" t="s">
        <v>53</v>
      </c>
      <c r="N82" s="3" t="s">
        <v>1</v>
      </c>
    </row>
    <row r="83" spans="1:14" x14ac:dyDescent="0.3">
      <c r="A83" s="5" t="s">
        <v>142</v>
      </c>
      <c r="B83" s="5" t="s">
        <v>43</v>
      </c>
      <c r="C83" s="5" t="s">
        <v>44</v>
      </c>
      <c r="D83" s="5" t="s">
        <v>27</v>
      </c>
      <c r="E83" s="5">
        <v>27</v>
      </c>
      <c r="F83" s="5">
        <v>8136</v>
      </c>
      <c r="G83" s="6">
        <v>44745</v>
      </c>
      <c r="H83" s="5">
        <v>3</v>
      </c>
      <c r="I83" s="5" t="s">
        <v>45</v>
      </c>
      <c r="J83" s="5" t="s">
        <v>40</v>
      </c>
      <c r="K83" s="5">
        <f t="shared" si="1"/>
        <v>1</v>
      </c>
      <c r="L83" s="5" t="s">
        <v>30</v>
      </c>
      <c r="M83" s="5" t="s">
        <v>53</v>
      </c>
      <c r="N83" s="5" t="s">
        <v>2</v>
      </c>
    </row>
    <row r="84" spans="1:14" x14ac:dyDescent="0.3">
      <c r="A84" s="3" t="s">
        <v>143</v>
      </c>
      <c r="B84" s="3" t="s">
        <v>43</v>
      </c>
      <c r="C84" s="3" t="s">
        <v>71</v>
      </c>
      <c r="D84" s="3" t="s">
        <v>11</v>
      </c>
      <c r="E84" s="3">
        <v>40</v>
      </c>
      <c r="F84" s="3">
        <v>8523</v>
      </c>
      <c r="G84" s="4">
        <v>45305</v>
      </c>
      <c r="H84" s="3">
        <v>2</v>
      </c>
      <c r="I84" s="3" t="s">
        <v>35</v>
      </c>
      <c r="J84" s="3" t="s">
        <v>50</v>
      </c>
      <c r="K84" s="3">
        <f t="shared" si="1"/>
        <v>4</v>
      </c>
      <c r="L84" s="3" t="s">
        <v>30</v>
      </c>
      <c r="M84" s="3" t="s">
        <v>53</v>
      </c>
      <c r="N84" s="3" t="s">
        <v>5</v>
      </c>
    </row>
    <row r="85" spans="1:14" x14ac:dyDescent="0.3">
      <c r="A85" s="5" t="s">
        <v>144</v>
      </c>
      <c r="B85" s="5" t="s">
        <v>33</v>
      </c>
      <c r="C85" s="5" t="s">
        <v>92</v>
      </c>
      <c r="D85" s="5" t="s">
        <v>12</v>
      </c>
      <c r="E85" s="5">
        <v>33</v>
      </c>
      <c r="F85" s="5">
        <v>3077</v>
      </c>
      <c r="G85" s="6">
        <v>44944</v>
      </c>
      <c r="H85" s="5">
        <v>3</v>
      </c>
      <c r="I85" s="5" t="s">
        <v>52</v>
      </c>
      <c r="J85" s="5" t="s">
        <v>50</v>
      </c>
      <c r="K85" s="5">
        <f t="shared" si="1"/>
        <v>4</v>
      </c>
      <c r="L85" s="5" t="s">
        <v>30</v>
      </c>
      <c r="M85" s="5" t="s">
        <v>36</v>
      </c>
      <c r="N85" s="5" t="s">
        <v>3</v>
      </c>
    </row>
    <row r="86" spans="1:14" x14ac:dyDescent="0.3">
      <c r="A86" s="3" t="s">
        <v>145</v>
      </c>
      <c r="B86" s="3" t="s">
        <v>48</v>
      </c>
      <c r="C86" s="3" t="s">
        <v>49</v>
      </c>
      <c r="D86" s="3" t="s">
        <v>11</v>
      </c>
      <c r="E86" s="3">
        <v>41</v>
      </c>
      <c r="F86" s="3">
        <v>2067</v>
      </c>
      <c r="G86" s="4">
        <v>44916</v>
      </c>
      <c r="H86" s="3">
        <v>3</v>
      </c>
      <c r="I86" s="3" t="s">
        <v>45</v>
      </c>
      <c r="J86" s="3" t="s">
        <v>29</v>
      </c>
      <c r="K86" s="3">
        <f t="shared" si="1"/>
        <v>3</v>
      </c>
      <c r="L86" s="3" t="s">
        <v>30</v>
      </c>
      <c r="M86" s="3" t="s">
        <v>53</v>
      </c>
      <c r="N86" s="3" t="s">
        <v>5</v>
      </c>
    </row>
    <row r="87" spans="1:14" x14ac:dyDescent="0.3">
      <c r="A87" s="5" t="s">
        <v>146</v>
      </c>
      <c r="B87" s="5" t="s">
        <v>33</v>
      </c>
      <c r="C87" s="5" t="s">
        <v>34</v>
      </c>
      <c r="D87" s="5" t="s">
        <v>27</v>
      </c>
      <c r="E87" s="5">
        <v>26</v>
      </c>
      <c r="F87" s="5">
        <v>7986</v>
      </c>
      <c r="G87" s="6">
        <v>43727</v>
      </c>
      <c r="H87" s="5">
        <v>6</v>
      </c>
      <c r="I87" s="5" t="s">
        <v>35</v>
      </c>
      <c r="J87" s="5" t="s">
        <v>29</v>
      </c>
      <c r="K87" s="5">
        <f t="shared" si="1"/>
        <v>3</v>
      </c>
      <c r="L87" s="5" t="s">
        <v>41</v>
      </c>
      <c r="M87" s="5" t="s">
        <v>36</v>
      </c>
      <c r="N87" s="5" t="s">
        <v>5</v>
      </c>
    </row>
    <row r="88" spans="1:14" x14ac:dyDescent="0.3">
      <c r="A88" s="3" t="s">
        <v>147</v>
      </c>
      <c r="B88" s="3" t="s">
        <v>43</v>
      </c>
      <c r="C88" s="3" t="s">
        <v>44</v>
      </c>
      <c r="D88" s="3" t="s">
        <v>12</v>
      </c>
      <c r="E88" s="3">
        <v>46</v>
      </c>
      <c r="F88" s="3">
        <v>3065</v>
      </c>
      <c r="G88" s="4">
        <v>43522</v>
      </c>
      <c r="H88" s="3">
        <v>7</v>
      </c>
      <c r="I88" s="3" t="s">
        <v>45</v>
      </c>
      <c r="J88" s="3" t="s">
        <v>50</v>
      </c>
      <c r="K88" s="3">
        <f t="shared" si="1"/>
        <v>4</v>
      </c>
      <c r="L88" s="3" t="s">
        <v>30</v>
      </c>
      <c r="M88" s="3" t="s">
        <v>36</v>
      </c>
      <c r="N88" s="3" t="s">
        <v>4</v>
      </c>
    </row>
    <row r="89" spans="1:14" x14ac:dyDescent="0.3">
      <c r="A89" s="5" t="s">
        <v>148</v>
      </c>
      <c r="B89" s="5" t="s">
        <v>62</v>
      </c>
      <c r="C89" s="5" t="s">
        <v>68</v>
      </c>
      <c r="D89" s="5" t="s">
        <v>11</v>
      </c>
      <c r="E89" s="5">
        <v>39</v>
      </c>
      <c r="F89" s="5">
        <v>1874</v>
      </c>
      <c r="G89" s="6">
        <v>43242</v>
      </c>
      <c r="H89" s="5">
        <v>8</v>
      </c>
      <c r="I89" s="5" t="s">
        <v>52</v>
      </c>
      <c r="J89" s="5" t="s">
        <v>50</v>
      </c>
      <c r="K89" s="5">
        <f t="shared" si="1"/>
        <v>4</v>
      </c>
      <c r="L89" s="5" t="s">
        <v>41</v>
      </c>
      <c r="M89" s="5" t="s">
        <v>31</v>
      </c>
      <c r="N89" s="5" t="s">
        <v>3</v>
      </c>
    </row>
    <row r="90" spans="1:14" x14ac:dyDescent="0.3">
      <c r="A90" s="3" t="s">
        <v>149</v>
      </c>
      <c r="B90" s="3" t="s">
        <v>43</v>
      </c>
      <c r="C90" s="3" t="s">
        <v>55</v>
      </c>
      <c r="D90" s="3" t="s">
        <v>11</v>
      </c>
      <c r="E90" s="3">
        <v>37</v>
      </c>
      <c r="F90" s="3">
        <v>8483</v>
      </c>
      <c r="G90" s="4">
        <v>43741</v>
      </c>
      <c r="H90" s="3">
        <v>6</v>
      </c>
      <c r="I90" s="3" t="s">
        <v>52</v>
      </c>
      <c r="J90" s="3" t="s">
        <v>56</v>
      </c>
      <c r="K90" s="3">
        <f t="shared" si="1"/>
        <v>2</v>
      </c>
      <c r="L90" s="3" t="s">
        <v>41</v>
      </c>
      <c r="M90" s="3" t="s">
        <v>53</v>
      </c>
      <c r="N90" s="3" t="s">
        <v>3</v>
      </c>
    </row>
    <row r="91" spans="1:14" x14ac:dyDescent="0.3">
      <c r="A91" s="5" t="s">
        <v>150</v>
      </c>
      <c r="B91" s="5" t="s">
        <v>43</v>
      </c>
      <c r="C91" s="5" t="s">
        <v>44</v>
      </c>
      <c r="D91" s="5" t="s">
        <v>11</v>
      </c>
      <c r="E91" s="5">
        <v>55</v>
      </c>
      <c r="F91" s="5">
        <v>4851</v>
      </c>
      <c r="G91" s="6">
        <v>45755</v>
      </c>
      <c r="H91" s="5">
        <v>1</v>
      </c>
      <c r="I91" s="5" t="s">
        <v>52</v>
      </c>
      <c r="J91" s="5" t="s">
        <v>56</v>
      </c>
      <c r="K91" s="5">
        <f t="shared" si="1"/>
        <v>2</v>
      </c>
      <c r="L91" s="5" t="s">
        <v>41</v>
      </c>
      <c r="M91" s="5" t="s">
        <v>53</v>
      </c>
      <c r="N91" s="5" t="s">
        <v>4</v>
      </c>
    </row>
    <row r="92" spans="1:14" x14ac:dyDescent="0.3">
      <c r="A92" s="3" t="s">
        <v>151</v>
      </c>
      <c r="B92" s="3" t="s">
        <v>62</v>
      </c>
      <c r="C92" s="3" t="s">
        <v>63</v>
      </c>
      <c r="D92" s="3" t="s">
        <v>27</v>
      </c>
      <c r="E92" s="3">
        <v>31</v>
      </c>
      <c r="F92" s="3">
        <v>7746</v>
      </c>
      <c r="G92" s="4">
        <v>44357</v>
      </c>
      <c r="H92" s="3">
        <v>5</v>
      </c>
      <c r="I92" s="3" t="s">
        <v>35</v>
      </c>
      <c r="J92" s="3" t="s">
        <v>29</v>
      </c>
      <c r="K92" s="3">
        <f t="shared" si="1"/>
        <v>3</v>
      </c>
      <c r="L92" s="3" t="s">
        <v>30</v>
      </c>
      <c r="M92" s="3" t="s">
        <v>53</v>
      </c>
      <c r="N92" s="3" t="s">
        <v>1</v>
      </c>
    </row>
    <row r="93" spans="1:14" x14ac:dyDescent="0.3">
      <c r="A93" s="5" t="s">
        <v>152</v>
      </c>
      <c r="B93" s="5" t="s">
        <v>25</v>
      </c>
      <c r="C93" s="5" t="s">
        <v>26</v>
      </c>
      <c r="D93" s="5" t="s">
        <v>11</v>
      </c>
      <c r="E93" s="5">
        <v>45</v>
      </c>
      <c r="F93" s="5">
        <v>7432</v>
      </c>
      <c r="G93" s="6">
        <v>45548</v>
      </c>
      <c r="H93" s="5">
        <v>1</v>
      </c>
      <c r="I93" s="5" t="s">
        <v>35</v>
      </c>
      <c r="J93" s="5" t="s">
        <v>56</v>
      </c>
      <c r="K93" s="5">
        <f t="shared" si="1"/>
        <v>2</v>
      </c>
      <c r="L93" s="5" t="s">
        <v>30</v>
      </c>
      <c r="M93" s="5" t="s">
        <v>31</v>
      </c>
      <c r="N93" s="5" t="s">
        <v>2</v>
      </c>
    </row>
    <row r="94" spans="1:14" x14ac:dyDescent="0.3">
      <c r="A94" s="3" t="s">
        <v>153</v>
      </c>
      <c r="B94" s="3" t="s">
        <v>43</v>
      </c>
      <c r="C94" s="3" t="s">
        <v>44</v>
      </c>
      <c r="D94" s="3" t="s">
        <v>11</v>
      </c>
      <c r="E94" s="3">
        <v>27</v>
      </c>
      <c r="F94" s="3">
        <v>4347</v>
      </c>
      <c r="G94" s="4">
        <v>45856</v>
      </c>
      <c r="H94" s="3">
        <v>0</v>
      </c>
      <c r="I94" s="3" t="s">
        <v>52</v>
      </c>
      <c r="J94" s="3" t="s">
        <v>50</v>
      </c>
      <c r="K94" s="3">
        <f t="shared" si="1"/>
        <v>4</v>
      </c>
      <c r="L94" s="3" t="s">
        <v>41</v>
      </c>
      <c r="M94" s="3" t="s">
        <v>36</v>
      </c>
      <c r="N94" s="3" t="s">
        <v>3</v>
      </c>
    </row>
    <row r="95" spans="1:14" x14ac:dyDescent="0.3">
      <c r="A95" s="5" t="s">
        <v>154</v>
      </c>
      <c r="B95" s="5" t="s">
        <v>62</v>
      </c>
      <c r="C95" s="5" t="s">
        <v>63</v>
      </c>
      <c r="D95" s="5" t="s">
        <v>27</v>
      </c>
      <c r="E95" s="5">
        <v>49</v>
      </c>
      <c r="F95" s="5">
        <v>2705</v>
      </c>
      <c r="G95" s="6">
        <v>42507</v>
      </c>
      <c r="H95" s="5">
        <v>10</v>
      </c>
      <c r="I95" s="5" t="s">
        <v>45</v>
      </c>
      <c r="J95" s="5" t="s">
        <v>56</v>
      </c>
      <c r="K95" s="5">
        <f t="shared" si="1"/>
        <v>2</v>
      </c>
      <c r="L95" s="5" t="s">
        <v>41</v>
      </c>
      <c r="M95" s="5" t="s">
        <v>53</v>
      </c>
      <c r="N95" s="5" t="s">
        <v>5</v>
      </c>
    </row>
    <row r="96" spans="1:14" x14ac:dyDescent="0.3">
      <c r="A96" s="3" t="s">
        <v>155</v>
      </c>
      <c r="B96" s="3" t="s">
        <v>43</v>
      </c>
      <c r="C96" s="3" t="s">
        <v>55</v>
      </c>
      <c r="D96" s="3" t="s">
        <v>27</v>
      </c>
      <c r="E96" s="3">
        <v>22</v>
      </c>
      <c r="F96" s="3">
        <v>5446</v>
      </c>
      <c r="G96" s="4">
        <v>44859</v>
      </c>
      <c r="H96" s="3">
        <v>3</v>
      </c>
      <c r="I96" s="3" t="s">
        <v>35</v>
      </c>
      <c r="J96" s="3" t="s">
        <v>29</v>
      </c>
      <c r="K96" s="3">
        <f t="shared" si="1"/>
        <v>3</v>
      </c>
      <c r="L96" s="3" t="s">
        <v>30</v>
      </c>
      <c r="M96" s="3" t="s">
        <v>31</v>
      </c>
      <c r="N96" s="3" t="s">
        <v>2</v>
      </c>
    </row>
    <row r="97" spans="1:14" x14ac:dyDescent="0.3">
      <c r="A97" s="5" t="s">
        <v>156</v>
      </c>
      <c r="B97" s="5" t="s">
        <v>33</v>
      </c>
      <c r="C97" s="5" t="s">
        <v>97</v>
      </c>
      <c r="D97" s="5" t="s">
        <v>27</v>
      </c>
      <c r="E97" s="5">
        <v>26</v>
      </c>
      <c r="F97" s="5">
        <v>8629</v>
      </c>
      <c r="G97" s="6">
        <v>42734</v>
      </c>
      <c r="H97" s="5">
        <v>9</v>
      </c>
      <c r="I97" s="5" t="s">
        <v>35</v>
      </c>
      <c r="J97" s="5" t="s">
        <v>40</v>
      </c>
      <c r="K97" s="5">
        <f t="shared" si="1"/>
        <v>1</v>
      </c>
      <c r="L97" s="5" t="s">
        <v>30</v>
      </c>
      <c r="M97" s="5" t="s">
        <v>31</v>
      </c>
      <c r="N97" s="5" t="s">
        <v>2</v>
      </c>
    </row>
    <row r="98" spans="1:14" x14ac:dyDescent="0.3">
      <c r="A98" s="3" t="s">
        <v>157</v>
      </c>
      <c r="B98" s="3" t="s">
        <v>43</v>
      </c>
      <c r="C98" s="3" t="s">
        <v>55</v>
      </c>
      <c r="D98" s="3" t="s">
        <v>11</v>
      </c>
      <c r="E98" s="3">
        <v>50</v>
      </c>
      <c r="F98" s="3">
        <v>4359</v>
      </c>
      <c r="G98" s="4">
        <v>44682</v>
      </c>
      <c r="H98" s="3">
        <v>4</v>
      </c>
      <c r="I98" s="3" t="s">
        <v>28</v>
      </c>
      <c r="J98" s="3" t="s">
        <v>50</v>
      </c>
      <c r="K98" s="3">
        <f t="shared" si="1"/>
        <v>4</v>
      </c>
      <c r="L98" s="3" t="s">
        <v>30</v>
      </c>
      <c r="M98" s="3" t="s">
        <v>53</v>
      </c>
      <c r="N98" s="3" t="s">
        <v>1</v>
      </c>
    </row>
    <row r="99" spans="1:14" x14ac:dyDescent="0.3">
      <c r="A99" s="5" t="s">
        <v>158</v>
      </c>
      <c r="B99" s="5" t="s">
        <v>33</v>
      </c>
      <c r="C99" s="5" t="s">
        <v>92</v>
      </c>
      <c r="D99" s="5" t="s">
        <v>11</v>
      </c>
      <c r="E99" s="5">
        <v>24</v>
      </c>
      <c r="F99" s="5">
        <v>5405</v>
      </c>
      <c r="G99" s="6">
        <v>43387</v>
      </c>
      <c r="H99" s="5">
        <v>7</v>
      </c>
      <c r="I99" s="5" t="s">
        <v>28</v>
      </c>
      <c r="J99" s="5" t="s">
        <v>56</v>
      </c>
      <c r="K99" s="5">
        <f t="shared" si="1"/>
        <v>2</v>
      </c>
      <c r="L99" s="5" t="s">
        <v>30</v>
      </c>
      <c r="M99" s="5" t="s">
        <v>31</v>
      </c>
      <c r="N99" s="5" t="s">
        <v>1</v>
      </c>
    </row>
    <row r="100" spans="1:14" x14ac:dyDescent="0.3">
      <c r="A100" s="3" t="s">
        <v>159</v>
      </c>
      <c r="B100" s="3" t="s">
        <v>25</v>
      </c>
      <c r="C100" s="3" t="s">
        <v>26</v>
      </c>
      <c r="D100" s="3" t="s">
        <v>11</v>
      </c>
      <c r="E100" s="3">
        <v>45</v>
      </c>
      <c r="F100" s="3">
        <v>5540</v>
      </c>
      <c r="G100" s="4">
        <v>42213</v>
      </c>
      <c r="H100" s="3">
        <v>10</v>
      </c>
      <c r="I100" s="3" t="s">
        <v>28</v>
      </c>
      <c r="J100" s="3" t="s">
        <v>40</v>
      </c>
      <c r="K100" s="3">
        <f t="shared" si="1"/>
        <v>1</v>
      </c>
      <c r="L100" s="3" t="s">
        <v>41</v>
      </c>
      <c r="M100" s="3" t="s">
        <v>53</v>
      </c>
      <c r="N100" s="3" t="s">
        <v>1</v>
      </c>
    </row>
    <row r="101" spans="1:14" x14ac:dyDescent="0.3">
      <c r="A101" s="5" t="s">
        <v>160</v>
      </c>
      <c r="B101" s="5" t="s">
        <v>48</v>
      </c>
      <c r="C101" s="5" t="s">
        <v>58</v>
      </c>
      <c r="D101" s="5" t="s">
        <v>27</v>
      </c>
      <c r="E101" s="5">
        <v>57</v>
      </c>
      <c r="F101" s="5">
        <v>3752</v>
      </c>
      <c r="G101" s="6">
        <v>45908</v>
      </c>
      <c r="H101" s="5">
        <v>0</v>
      </c>
      <c r="I101" s="5" t="s">
        <v>45</v>
      </c>
      <c r="J101" s="5" t="s">
        <v>56</v>
      </c>
      <c r="K101" s="5">
        <f t="shared" si="1"/>
        <v>2</v>
      </c>
      <c r="L101" s="5" t="s">
        <v>30</v>
      </c>
      <c r="M101" s="5" t="s">
        <v>53</v>
      </c>
      <c r="N101" s="5" t="s">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92DD-B80B-4F9B-AF06-60F099FAF81C}">
  <dimension ref="A1:J8"/>
  <sheetViews>
    <sheetView showGridLines="0" tabSelected="1" zoomScale="42" zoomScaleNormal="40" workbookViewId="0">
      <selection activeCell="AA6" sqref="AA6"/>
    </sheetView>
  </sheetViews>
  <sheetFormatPr defaultRowHeight="14.4" x14ac:dyDescent="0.3"/>
  <cols>
    <col min="1" max="3" width="8.88671875" customWidth="1"/>
    <col min="14" max="14" width="8.88671875" customWidth="1"/>
    <col min="21" max="21" width="8.88671875" customWidth="1"/>
  </cols>
  <sheetData>
    <row r="1" spans="1:10" ht="14.4" customHeight="1" x14ac:dyDescent="0.3">
      <c r="A1" s="20" t="s">
        <v>161</v>
      </c>
      <c r="B1" s="20"/>
      <c r="C1" s="20"/>
      <c r="D1" s="20"/>
      <c r="E1" s="20"/>
      <c r="F1" s="20"/>
      <c r="G1" s="20"/>
      <c r="H1" s="20"/>
      <c r="I1" s="20"/>
      <c r="J1" s="20"/>
    </row>
    <row r="2" spans="1:10" ht="14.4" customHeight="1" x14ac:dyDescent="0.3">
      <c r="A2" s="20"/>
      <c r="B2" s="20"/>
      <c r="C2" s="20"/>
      <c r="D2" s="20"/>
      <c r="E2" s="20"/>
      <c r="F2" s="20"/>
      <c r="G2" s="20"/>
      <c r="H2" s="20"/>
      <c r="I2" s="20"/>
      <c r="J2" s="20"/>
    </row>
    <row r="3" spans="1:10" ht="14.4" customHeight="1" x14ac:dyDescent="0.3">
      <c r="A3" s="20"/>
      <c r="B3" s="20"/>
      <c r="C3" s="20"/>
      <c r="D3" s="20"/>
      <c r="E3" s="20"/>
      <c r="F3" s="20"/>
      <c r="G3" s="20"/>
      <c r="H3" s="20"/>
      <c r="I3" s="20"/>
      <c r="J3" s="20"/>
    </row>
    <row r="4" spans="1:10" ht="33.6" customHeight="1" x14ac:dyDescent="0.3">
      <c r="A4" s="20"/>
      <c r="B4" s="20"/>
      <c r="C4" s="20"/>
      <c r="D4" s="20"/>
      <c r="E4" s="20"/>
      <c r="F4" s="20"/>
      <c r="G4" s="20"/>
      <c r="H4" s="20"/>
      <c r="I4" s="20"/>
      <c r="J4" s="20"/>
    </row>
    <row r="5" spans="1:10" ht="28.8" customHeight="1" x14ac:dyDescent="0.3">
      <c r="A5" s="21" t="s">
        <v>171</v>
      </c>
      <c r="B5" s="21"/>
      <c r="C5" s="21"/>
      <c r="D5" s="21"/>
      <c r="E5" s="21"/>
      <c r="F5" s="21"/>
      <c r="G5" s="21"/>
      <c r="H5" s="21"/>
      <c r="I5" s="21"/>
      <c r="J5" s="21"/>
    </row>
    <row r="6" spans="1:10" ht="14.4" customHeight="1" x14ac:dyDescent="0.3">
      <c r="A6" s="21"/>
      <c r="B6" s="21"/>
      <c r="C6" s="21"/>
      <c r="D6" s="21"/>
      <c r="E6" s="21"/>
      <c r="F6" s="21"/>
      <c r="G6" s="21"/>
      <c r="H6" s="21"/>
      <c r="I6" s="21"/>
      <c r="J6" s="21"/>
    </row>
    <row r="7" spans="1:10" ht="14.4" customHeight="1" x14ac:dyDescent="0.3">
      <c r="B7" s="8"/>
      <c r="C7" s="8"/>
      <c r="D7" s="8"/>
      <c r="E7" s="8"/>
      <c r="F7" s="8"/>
      <c r="G7" s="8"/>
      <c r="H7" s="8"/>
      <c r="I7" s="8"/>
      <c r="J7" s="8"/>
    </row>
    <row r="8" spans="1:10" ht="14.4" customHeight="1" x14ac:dyDescent="0.3"/>
  </sheetData>
  <mergeCells count="2">
    <mergeCell ref="A1:J4"/>
    <mergeCell ref="A5:J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F7C9EE02-42E1-4005-9D12-6889AFFD525C}">
      <x15:webExtensions xmlns:xm="http://schemas.microsoft.com/office/excel/2006/main">
        <x15:webExtension appRef="{9F5545C0-D5F9-48FF-8658-776EE0F6EB61}">
          <xm:f>Pivots!$H$15:$I$18</xm:f>
        </x15:webExtension>
      </x15:webExtens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Documentation</vt:lpstr>
      <vt:lpstr>Pivots</vt:lpstr>
      <vt:lpstr>Data</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Nino Makharadze</dc:creator>
  <cp:lastModifiedBy>Nino Makharadze</cp:lastModifiedBy>
  <dcterms:created xsi:type="dcterms:W3CDTF">2026-07-10T14:03:06Z</dcterms:created>
  <dcterms:modified xsi:type="dcterms:W3CDTF">2026-07-10T17:01:14Z</dcterms:modified>
</cp:coreProperties>
</file>